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2.234\Share.CN\Maintenance\SHARE\KRA POINTS 25-26\"/>
    </mc:Choice>
  </mc:AlternateContent>
  <bookViews>
    <workbookView xWindow="0" yWindow="0" windowWidth="19200" windowHeight="7190" tabRatio="500" firstSheet="2" activeTab="2"/>
  </bookViews>
  <sheets>
    <sheet name="Anual PM Record 24-25" sheetId="1" r:id="rId1"/>
    <sheet name="Pm Record 24-25" sheetId="2" r:id="rId2"/>
    <sheet name="Annual PM record 25-26" sheetId="3" r:id="rId3"/>
    <sheet name="Sheet1" sheetId="5" r:id="rId4"/>
    <sheet name="Annual PM record 2026-27" sheetId="4" r:id="rId5"/>
  </sheets>
  <definedNames>
    <definedName name="_xlnm.Print_Area" localSheetId="2">'Annual PM record 25-26'!$A$1:S63</definedName>
  </definedNames>
  <calcPr calcId="152511"/>
</workbook>
</file>

<file path=xl/calcChain.xml><?xml version="1.0" encoding="utf-8"?>
<calcChain xmlns="http://schemas.openxmlformats.org/spreadsheetml/2006/main">
  <c r="T55" i="3" l="1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S55" i="3"/>
  <c r="R55" i="3"/>
  <c r="Q55" i="3"/>
  <c r="P55" i="3"/>
  <c r="O55" i="3"/>
  <c r="N55" i="3"/>
  <c r="M55" i="3"/>
  <c r="L55" i="3"/>
  <c r="K55" i="3"/>
  <c r="J55" i="3"/>
  <c r="I55" i="3"/>
  <c r="H55" i="3"/>
  <c r="T6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</calcChain>
</file>

<file path=xl/sharedStrings.xml><?xml version="1.0" encoding="utf-8"?>
<sst xmlns="http://schemas.openxmlformats.org/spreadsheetml/2006/main" count="1525" uniqueCount="493">
  <si>
    <t>Annual Preventive Maintenance Schedule – 2024 -2025
(Productive Machines)</t>
  </si>
  <si>
    <t>Doc No</t>
  </si>
  <si>
    <t>FO / PRO - 31.</t>
  </si>
  <si>
    <t>Rev No</t>
  </si>
  <si>
    <t>01</t>
  </si>
  <si>
    <t>Eff Date</t>
  </si>
  <si>
    <t>01.01.2008</t>
  </si>
  <si>
    <t>Sr. No.</t>
  </si>
  <si>
    <t>Section</t>
  </si>
  <si>
    <t>Machine / Equipment Name</t>
  </si>
  <si>
    <t>Frequency of PM</t>
  </si>
  <si>
    <t>Machine / Equipment 
ID No</t>
  </si>
  <si>
    <t>Date of 
Installation</t>
  </si>
  <si>
    <t>Under Warranty</t>
  </si>
  <si>
    <t>Month wise Maintenance Schedule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</si>
  <si>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</si>
  <si>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</si>
  <si>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</si>
  <si>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</si>
  <si>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</si>
  <si>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</si>
  <si>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</si>
  <si>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</si>
  <si>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</si>
  <si>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</si>
  <si>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</si>
  <si>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</si>
  <si>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 xml:space="preserve">percentage </t>
  </si>
  <si>
    <t>Printing</t>
  </si>
  <si>
    <t>Heidelberg printing machine - CX 1
Make :- Heidelberg ; Model :- CX102-6+L ; Sr. No. :- 551418.</t>
  </si>
  <si>
    <t>Monthly</t>
  </si>
  <si>
    <t>MNT / PR / 001</t>
  </si>
  <si>
    <t>28.11.2015</t>
  </si>
  <si>
    <t>NO</t>
  </si>
  <si>
    <t>07.04.2024</t>
  </si>
  <si>
    <t>05.05.2024</t>
  </si>
  <si>
    <t>07.07.2024</t>
  </si>
  <si>
    <t>04.08.2024</t>
  </si>
  <si>
    <t>11.09.24</t>
  </si>
  <si>
    <t>03.11.2024</t>
  </si>
  <si>
    <t>11/13.12.2024</t>
  </si>
  <si>
    <t>01.01.2025</t>
  </si>
  <si>
    <t>Heidelberg printing machine - CX 2
Make :- Heidelberg ; Model :- CX102-6+L ; Sr. No. :- 551521.</t>
  </si>
  <si>
    <t>MNT / PR / 002</t>
  </si>
  <si>
    <t>30.05.2016</t>
  </si>
  <si>
    <t>02.06.2024</t>
  </si>
  <si>
    <t>17.09.24</t>
  </si>
  <si>
    <t>13.10.2024</t>
  </si>
  <si>
    <t>23.12.2024</t>
  </si>
  <si>
    <t>KBA printing machine - KBA 1
Make :- KBA ; Model :- RA105-6+L ; Sr. No. :- 378208.</t>
  </si>
  <si>
    <t>MNT / PR / 003</t>
  </si>
  <si>
    <t>08.06.2019</t>
  </si>
  <si>
    <t>02.04.2024</t>
  </si>
  <si>
    <t>04.10.2024</t>
  </si>
  <si>
    <t>04.01.2025</t>
  </si>
  <si>
    <t>16-03-2025</t>
  </si>
  <si>
    <t>KBA printing machine - KBA 2
Make :- KBA ; Model :- RA105-6+L ; Sr. No. :- 377596.</t>
  </si>
  <si>
    <t>MNT / PR / 004</t>
  </si>
  <si>
    <t>01.04.2015</t>
  </si>
  <si>
    <t>01.04.2024</t>
  </si>
  <si>
    <t>09.06.2024</t>
  </si>
  <si>
    <t>02.10.2024</t>
  </si>
  <si>
    <t>06.01.2025</t>
  </si>
  <si>
    <t>01/03.02.25</t>
  </si>
  <si>
    <t>1-03-25 to03-03-25</t>
  </si>
  <si>
    <t>KBA printing machine - KBA 3
Make :- KBA ; Model :- RA106-7+L ; Sr. No. :- 377067.</t>
  </si>
  <si>
    <t>MNT / PR / 005</t>
  </si>
  <si>
    <t>01.04.2012</t>
  </si>
  <si>
    <t>16.06.24</t>
  </si>
  <si>
    <t>08.12.2025</t>
  </si>
  <si>
    <t>09-03-2025</t>
  </si>
  <si>
    <t xml:space="preserve">Roland Printing machine – Roland                                                    Make :- Roland ; Model :- </t>
  </si>
  <si>
    <t>MNT / PR / 006</t>
  </si>
  <si>
    <t>_</t>
  </si>
  <si>
    <t>No</t>
  </si>
  <si>
    <t>12.05.2024</t>
  </si>
  <si>
    <t>01.09.24</t>
  </si>
  <si>
    <t>12.10.2024</t>
  </si>
  <si>
    <t>20.12.2024</t>
  </si>
  <si>
    <t>21.01.2025</t>
  </si>
  <si>
    <t>17-03-25 to 18-03-25</t>
  </si>
  <si>
    <t>WEN CHYUAN UV Coater machine
Make :- Wen Chyuan Machinery ; Model :- KYU-9W-110 ; 
Sr. No. :- WCM160811.</t>
  </si>
  <si>
    <t>MNT / LM / 002</t>
  </si>
  <si>
    <t>01.04.2016</t>
  </si>
  <si>
    <t>06.04.2024</t>
  </si>
  <si>
    <t>05.06.2024</t>
  </si>
  <si>
    <t>04.07.2024</t>
  </si>
  <si>
    <t>15.09.2024</t>
  </si>
  <si>
    <t>20.10.2024</t>
  </si>
  <si>
    <t>15.11.2024</t>
  </si>
  <si>
    <t>17.12.2024</t>
  </si>
  <si>
    <t>15.01.2025</t>
  </si>
  <si>
    <t>Gravuer Coating  machine</t>
  </si>
  <si>
    <t>01.04.2020</t>
  </si>
  <si>
    <t xml:space="preserve">NO </t>
  </si>
  <si>
    <t>12.04.2024</t>
  </si>
  <si>
    <t>15.06.24</t>
  </si>
  <si>
    <t>29.07.24</t>
  </si>
  <si>
    <t>02.08.2024</t>
  </si>
  <si>
    <t>07-03-2025</t>
  </si>
  <si>
    <t xml:space="preserve">Albo Machine : Pile Turner </t>
  </si>
  <si>
    <t>MNT/PR/002</t>
  </si>
  <si>
    <t>15.07.2024</t>
  </si>
  <si>
    <t>23.11.24</t>
  </si>
  <si>
    <t>11.02.2025</t>
  </si>
  <si>
    <t>Raw Material - RM</t>
  </si>
  <si>
    <t>Shitter machine
Make :- Goodstrong Machinery ; Model :- GMC-TC ; Sr. no. :- 32357.</t>
  </si>
  <si>
    <t>MNT / RM / 001</t>
  </si>
  <si>
    <t>17.08.2024</t>
  </si>
  <si>
    <t>29.09.24</t>
  </si>
  <si>
    <t>15.10.2024</t>
  </si>
  <si>
    <t>25.11.24</t>
  </si>
  <si>
    <t>30.01.2025</t>
  </si>
  <si>
    <t>10.02.2025</t>
  </si>
  <si>
    <t>Fida cutting machine
Make :- Shanghai Machinery ; Model :- SQZK1150M ; 
Sr. No. :- 08253.</t>
  </si>
  <si>
    <t>MNT / RM / 002</t>
  </si>
  <si>
    <t>01.04.2008</t>
  </si>
  <si>
    <t>11.05.2024</t>
  </si>
  <si>
    <t>Perfecta cutting machine
Make :- Perfecta ; Model :- 115UC ; Sr. No. :- 74571.</t>
  </si>
  <si>
    <t>MNT / RM / 003</t>
  </si>
  <si>
    <t>01.04.2007</t>
  </si>
  <si>
    <t>30.04.2024</t>
  </si>
  <si>
    <t>01.05.2024</t>
  </si>
  <si>
    <t>08.07.2024</t>
  </si>
  <si>
    <t>03.10.2024</t>
  </si>
  <si>
    <t>Lamination &amp; Foil Stamping</t>
  </si>
  <si>
    <t>YIILEE
Make :- YIILEE Enterprises ; Model :- YLL-3AWF ; 
Sr. No. :- YL160518.</t>
  </si>
  <si>
    <t>MNT / LM / 001</t>
  </si>
  <si>
    <t>18.04.2024</t>
  </si>
  <si>
    <t>04.06.2024</t>
  </si>
  <si>
    <t>05.07.2024</t>
  </si>
  <si>
    <t>08.10.2024</t>
  </si>
  <si>
    <t>16.11.2024</t>
  </si>
  <si>
    <t>06.12.2024</t>
  </si>
  <si>
    <t>11.01.2025</t>
  </si>
  <si>
    <t>05.02.2025</t>
  </si>
  <si>
    <t>07-03-25</t>
  </si>
  <si>
    <t xml:space="preserve">Heidelberg Foil stamping machine
Make :- Heidelberg ; Model :- </t>
  </si>
  <si>
    <t>MNT / LM / 003</t>
  </si>
  <si>
    <t>-</t>
  </si>
  <si>
    <t>03.04.2024</t>
  </si>
  <si>
    <t>07.06.2024</t>
  </si>
  <si>
    <t>07.08.2024</t>
  </si>
  <si>
    <t>06.11.2024</t>
  </si>
  <si>
    <t>03.01.2025</t>
  </si>
  <si>
    <t>06-03-25</t>
  </si>
  <si>
    <t>Yoco Foil stamping (JY105T) machine
Make :- YOCO ; Model :- JY105T ; Sr. No. :- 08-02-1.</t>
  </si>
  <si>
    <t>MNT / LM / 004</t>
  </si>
  <si>
    <t>03.05.2024</t>
  </si>
  <si>
    <t>10.06.2024</t>
  </si>
  <si>
    <t>03.08.2024</t>
  </si>
  <si>
    <t>09.10.2024</t>
  </si>
  <si>
    <t>08.01.2025</t>
  </si>
  <si>
    <t>07.02.2025</t>
  </si>
  <si>
    <t>12-03-2025</t>
  </si>
  <si>
    <t>Bobst Foil stamping (SP104 BM) machine
Make :- BOBST ; Sr. No. :- BSA05322000172/1749.</t>
  </si>
  <si>
    <t>MNT / LM / 005</t>
  </si>
  <si>
    <t>05.01.2018</t>
  </si>
  <si>
    <t>01.06.2024</t>
  </si>
  <si>
    <t>01.07.2024</t>
  </si>
  <si>
    <t>05.08.2024</t>
  </si>
  <si>
    <t>04.09.24</t>
  </si>
  <si>
    <t>05.10.2024</t>
  </si>
  <si>
    <t>08-03-2025</t>
  </si>
  <si>
    <t xml:space="preserve">Non Fluted – Die cutter </t>
  </si>
  <si>
    <t>Bobst Novacut (106 E) - 2
Make :- BOBST ; Sr. No. :- BSA05642000154/1212.</t>
  </si>
  <si>
    <t>MNT / NF / 002</t>
  </si>
  <si>
    <t>05.04.2024</t>
  </si>
  <si>
    <t>07.05.2024</t>
  </si>
  <si>
    <t>01.08.2024</t>
  </si>
  <si>
    <t>05.09.24</t>
  </si>
  <si>
    <t>07.11.2024</t>
  </si>
  <si>
    <t>18.12.2024</t>
  </si>
  <si>
    <t>02.01.2025</t>
  </si>
  <si>
    <t>06.02.2025</t>
  </si>
  <si>
    <t>15-03-2025</t>
  </si>
  <si>
    <t>Bobst Spanthera (106 LE) - 1
Make :- BOBST ; Sr. No. :- BSA0534004404.</t>
  </si>
  <si>
    <t>MNT / NF / 003</t>
  </si>
  <si>
    <t>08.04.2024</t>
  </si>
  <si>
    <t>12.06.2024</t>
  </si>
  <si>
    <t>02.07.2024</t>
  </si>
  <si>
    <t>10.08.2024</t>
  </si>
  <si>
    <t>19.10.2024</t>
  </si>
  <si>
    <t>09.11.2024</t>
  </si>
  <si>
    <t>05.12.2024</t>
  </si>
  <si>
    <t>04.02.2025</t>
  </si>
  <si>
    <t>Bobst Spanthera (106 LE) - 2
Make :- BOBST ;  Sr. No. :- BSA0534004403.</t>
  </si>
  <si>
    <t>MNT / NF / 004</t>
  </si>
  <si>
    <t>08.06.2024</t>
  </si>
  <si>
    <t>Bobst Novacut Blanker (106 ER) - 1
Make :- BOBST ; Sr. No. :- BSA05572000018/1516.</t>
  </si>
  <si>
    <t>MNT / NF / 005</t>
  </si>
  <si>
    <t>20.09.24</t>
  </si>
  <si>
    <t>Bobst Novacut Blanker (106 ER 3.0) - 2
Make :- BOBST ; Sr. No. :- BSA05572000391/1911.</t>
  </si>
  <si>
    <t>MNT / NF / 006</t>
  </si>
  <si>
    <t>26.07.2019</t>
  </si>
  <si>
    <t>YES</t>
  </si>
  <si>
    <t>13.04.2024</t>
  </si>
  <si>
    <t>13.01.2025</t>
  </si>
  <si>
    <t>Bobst Novacut (106 E 3.0) - 5
Make :- BOBST ; Sr. No. :- BSA05572000390/1901.</t>
  </si>
  <si>
    <t>MNT / NF / 007</t>
  </si>
  <si>
    <t>20.07.2019</t>
  </si>
  <si>
    <t>14.05.2024</t>
  </si>
  <si>
    <t>19.05.2024</t>
  </si>
  <si>
    <t>17.06.2024</t>
  </si>
  <si>
    <t>03.07.2024</t>
  </si>
  <si>
    <t>11.11.2024</t>
  </si>
  <si>
    <t>07.12.2024</t>
  </si>
  <si>
    <t>Bobst Novacut (106 E 3.0) - 6
Make :- BOBST ; Sr. No. :- BSA05572000631.</t>
  </si>
  <si>
    <t>MNT / NF / 008</t>
  </si>
  <si>
    <t>01.12.2020</t>
  </si>
  <si>
    <t>06.08.2024</t>
  </si>
  <si>
    <t>10.10.2024</t>
  </si>
  <si>
    <t>11.12.2024</t>
  </si>
  <si>
    <t>12.02.2025</t>
  </si>
  <si>
    <t>Non Flutted - Folder Gluers (Pasting)</t>
  </si>
  <si>
    <t>Bobst folder gluer - Mistral (110 - A2)
Make :- BOBST ; Sr. No. :- BSA0356-0066-06.</t>
  </si>
  <si>
    <t>MNT / NF / 009</t>
  </si>
  <si>
    <t>18.10.2024</t>
  </si>
  <si>
    <t>Bobst folder gluer - Alpina (75II - A1)
Make :- BOBST ; Sr. No. :- BSA0350-008304.</t>
  </si>
  <si>
    <t>MNT / NF / 010</t>
  </si>
  <si>
    <t>25.05.2024</t>
  </si>
  <si>
    <t>14.06.2024</t>
  </si>
  <si>
    <t>06.07.2024</t>
  </si>
  <si>
    <t>16.08.2024</t>
  </si>
  <si>
    <t>03.09.24</t>
  </si>
  <si>
    <t>14.01.2025</t>
  </si>
  <si>
    <t>04-03-2025</t>
  </si>
  <si>
    <t>Bobst folder gluer - Fuego (80 - A2)
Make :- BOBST ; Sr. No. :- BSA0356-083-04.</t>
  </si>
  <si>
    <t>MNT / NF / 011</t>
  </si>
  <si>
    <t>14.04.2024</t>
  </si>
  <si>
    <t>03.06.2024</t>
  </si>
  <si>
    <t>16.09.24</t>
  </si>
  <si>
    <t>08.11.2024</t>
  </si>
  <si>
    <t>Bobst folder gluer - VisionFold (80  - A1)
Make :- BOBST ; Sr. No. :- BSA0356-155-02.</t>
  </si>
  <si>
    <t>MNT / NF / 012</t>
  </si>
  <si>
    <t>10.11.2024</t>
  </si>
  <si>
    <t>10.01.2025</t>
  </si>
  <si>
    <t>13.02.2025</t>
  </si>
  <si>
    <t>Bobst folder gluer - Media (68III - A2)
Make :- BOBST ; Sr. No. :- BSA0341-098-06.</t>
  </si>
  <si>
    <t>MNT / NF / 013</t>
  </si>
  <si>
    <t>01.04.2014</t>
  </si>
  <si>
    <t>17.07.24</t>
  </si>
  <si>
    <t>10.12.2024</t>
  </si>
  <si>
    <t>02-03-2025</t>
  </si>
  <si>
    <t>Bobst folder gluer - ExpertFold (80 - A2)
Make :- BOBST ; Sr. No. :- BSA03562001086/1634.</t>
  </si>
  <si>
    <t>MNT / NF / 014</t>
  </si>
  <si>
    <t>14.08.24</t>
  </si>
  <si>
    <t>11.10.2024</t>
  </si>
  <si>
    <t>IPBM folder gluer - Fortuna (LF - IV - 700)
Make :- IPBM ; Sr. No. :- 0032-CH.</t>
  </si>
  <si>
    <t>MNT / NF / 015</t>
  </si>
  <si>
    <t>01.02.2017</t>
  </si>
  <si>
    <t>15.04.2024</t>
  </si>
  <si>
    <t>05.07.24</t>
  </si>
  <si>
    <t>12.08.24</t>
  </si>
  <si>
    <t>18.09.24</t>
  </si>
  <si>
    <t>Flutted - Die Cutting</t>
  </si>
  <si>
    <t>Bobst SP 102 (E II) machine
Make :- Bobst ; Model :- SP102-EII ; Sr. No. :- 053200906.</t>
  </si>
  <si>
    <t>MNT / FL / 001</t>
  </si>
  <si>
    <t>01.04.1996</t>
  </si>
  <si>
    <t>11.04.2024</t>
  </si>
  <si>
    <t>10.05.2024</t>
  </si>
  <si>
    <t>18.08.24</t>
  </si>
  <si>
    <t>13.11.2024</t>
  </si>
  <si>
    <t>15-03-25</t>
  </si>
  <si>
    <t>Bobst Novacut (106 E) - 3
Make :- BOBST ; Sr. No. :- BSA05642000349/1445.</t>
  </si>
  <si>
    <t>MNT / FL / 003</t>
  </si>
  <si>
    <t>02.05.2024</t>
  </si>
  <si>
    <t>23.01.2025</t>
  </si>
  <si>
    <t>Bobst Novacut (106 E) - 4
Make :- BOBST ; Sr. No. :- BSA05642000512/1719.</t>
  </si>
  <si>
    <t>MNT / FL / 004</t>
  </si>
  <si>
    <t>15.09.2017</t>
  </si>
  <si>
    <t>04.05.2024</t>
  </si>
  <si>
    <t>Flutted - Folder Gluers</t>
  </si>
  <si>
    <t>Bobst folder gluer - LILA 1 (106 A2)
Make :- BOBST ; Sr. No. :- BSA03572000041/1243.</t>
  </si>
  <si>
    <t>MNT / FL / 005</t>
  </si>
  <si>
    <t>07.10.2024</t>
  </si>
  <si>
    <t>Folder gluer - PAKTEK (D14-1050)
Make :- Paktek Machinery ; Sr. No. :- 305.</t>
  </si>
  <si>
    <t>MNT / FL / 006</t>
  </si>
  <si>
    <t>10.04.2024</t>
  </si>
  <si>
    <t>30.05.2024</t>
  </si>
  <si>
    <t>Bobst folder gluer - LILA 2 (106 A2)
Make :- BOBST ; Sr. No. :- BSA03572000185/1921.</t>
  </si>
  <si>
    <t>MNT / FL / 007</t>
  </si>
  <si>
    <t>01.04.2019</t>
  </si>
  <si>
    <t>06.06.24</t>
  </si>
  <si>
    <t>09.08.24</t>
  </si>
  <si>
    <t>17.01.2025</t>
  </si>
  <si>
    <t xml:space="preserve">Robus machine </t>
  </si>
  <si>
    <t>MNT / FL / 008</t>
  </si>
  <si>
    <t>Flutted - Corrogation</t>
  </si>
  <si>
    <t>N Flute Corrogation machine
Make :- Xinguang Machinery ; Sr. No. :- SF280-1400.</t>
  </si>
  <si>
    <t>01.08.2017</t>
  </si>
  <si>
    <t>BHS Corrogation machine
Make :- BHS</t>
  </si>
  <si>
    <t>MNT / FL / 002</t>
  </si>
  <si>
    <t>15.06.2024</t>
  </si>
  <si>
    <t>21.12.2024</t>
  </si>
  <si>
    <t>Champion</t>
  </si>
  <si>
    <t>15.05.2024</t>
  </si>
  <si>
    <t>18.06.2024</t>
  </si>
  <si>
    <t>17.07.2024</t>
  </si>
  <si>
    <t>Lamify 1 Laminator machine
Model :- LAMIFY / 3PLY / DX-1450 ; Sr. No. :- DX0065.</t>
  </si>
  <si>
    <t>20.06.2024</t>
  </si>
  <si>
    <t>17.09.2024</t>
  </si>
  <si>
    <t>14.11.2024</t>
  </si>
  <si>
    <t>18.01.2025</t>
  </si>
  <si>
    <t>15.02.2025</t>
  </si>
  <si>
    <t>Flutted - Lamination</t>
  </si>
  <si>
    <t>Lamify 2 Laminator machine
Model :- LAMIFY / 3PLY / DX-1450 ; Sr. No. :- DX0065.</t>
  </si>
  <si>
    <t>20.03.2018</t>
  </si>
  <si>
    <t>HEIDO Hand punching machine</t>
  </si>
  <si>
    <t>12.01.2025</t>
  </si>
  <si>
    <t>BHARAT Hand punching machine</t>
  </si>
  <si>
    <t>18.07.2024</t>
  </si>
  <si>
    <t>22.08.2024</t>
  </si>
  <si>
    <t>21.09.2024</t>
  </si>
  <si>
    <t>Window patching machine – 1
Make :-ZHENGMAO ; Model :- V-CUT1050 ; Sr. No. :- 20191201.</t>
  </si>
  <si>
    <t>MNT / OT / 001</t>
  </si>
  <si>
    <t>16.05.2024</t>
  </si>
  <si>
    <t>SHUN XIN LONG Offline Blanker machine
Make :- SHUN XIN LONG ;</t>
  </si>
  <si>
    <t>MNT / OT / 002</t>
  </si>
  <si>
    <t>15.08.2024</t>
  </si>
  <si>
    <t>Auto print sorting machine - 1
Make :- Autoprint ; Model :- Checkmate50 ; 
Sr. No. :- FPC00CC3D00026.</t>
  </si>
  <si>
    <t>MNT / OT / 004</t>
  </si>
  <si>
    <t>01.01.2019</t>
  </si>
  <si>
    <t>22.11.2024</t>
  </si>
  <si>
    <t>27.01.2025</t>
  </si>
  <si>
    <t xml:space="preserve">Auto print sorting machine - 2
Make :- Autoprint ; Model :- Checkmate50 ; 
Sr. No. :- </t>
  </si>
  <si>
    <t>MNT / OT / 005</t>
  </si>
  <si>
    <t>Label pasting machine - 1
Make :- ; Model :- ALS204 ; Sr. No. :- 124046.</t>
  </si>
  <si>
    <t>MNT / OT / 006</t>
  </si>
  <si>
    <t>13.06.2024</t>
  </si>
  <si>
    <t>Label pasting machine - 2
Make :- ; Model :- ALS204 ; Sr. No. :- 124054.</t>
  </si>
  <si>
    <t>MNT / OT / 007</t>
  </si>
  <si>
    <r>
      <rPr>
        <sz val="11"/>
        <rFont val="Segoe UI"/>
        <charset val="1"/>
      </rPr>
      <t>Remarks :- 
1.) Preventive maintenance to be carried out by trained maintenance persons as per PM check-sheet.
Abbrevations :- 
W1 :- 1</t>
    </r>
    <r>
      <rPr>
        <vertAlign val="superscript"/>
        <sz val="11"/>
        <rFont val="Segoe UI"/>
        <charset val="1"/>
      </rPr>
      <t>st</t>
    </r>
    <r>
      <rPr>
        <sz val="11"/>
        <rFont val="Segoe UI"/>
        <charset val="1"/>
      </rPr>
      <t xml:space="preserve"> to 7</t>
    </r>
    <r>
      <rPr>
        <vertAlign val="superscript"/>
        <sz val="11"/>
        <rFont val="Segoe UI"/>
        <charset val="1"/>
      </rPr>
      <t>th</t>
    </r>
    <r>
      <rPr>
        <sz val="11"/>
        <rFont val="Segoe UI"/>
        <charset val="1"/>
      </rPr>
      <t xml:space="preserve"> date of every month.
W2 :- 8</t>
    </r>
    <r>
      <rPr>
        <vertAlign val="superscript"/>
        <sz val="11"/>
        <rFont val="Segoe UI"/>
        <charset val="1"/>
      </rPr>
      <t>th</t>
    </r>
    <r>
      <rPr>
        <sz val="11"/>
        <rFont val="Segoe UI"/>
        <charset val="1"/>
      </rPr>
      <t xml:space="preserve"> to 14</t>
    </r>
    <r>
      <rPr>
        <vertAlign val="superscript"/>
        <sz val="11"/>
        <rFont val="Segoe UI"/>
        <charset val="1"/>
      </rPr>
      <t>th</t>
    </r>
    <r>
      <rPr>
        <sz val="11"/>
        <rFont val="Segoe UI"/>
        <charset val="1"/>
      </rPr>
      <t xml:space="preserve"> date of every month.
W3 :- 15</t>
    </r>
    <r>
      <rPr>
        <vertAlign val="superscript"/>
        <sz val="11"/>
        <rFont val="Segoe UI"/>
        <charset val="1"/>
      </rPr>
      <t>th</t>
    </r>
    <r>
      <rPr>
        <sz val="11"/>
        <rFont val="Segoe UI"/>
        <charset val="1"/>
      </rPr>
      <t xml:space="preserve"> to 21</t>
    </r>
    <r>
      <rPr>
        <vertAlign val="superscript"/>
        <sz val="11"/>
        <rFont val="Segoe UI"/>
        <charset val="1"/>
      </rPr>
      <t>st</t>
    </r>
    <r>
      <rPr>
        <sz val="11"/>
        <rFont val="Segoe UI"/>
        <charset val="1"/>
      </rPr>
      <t xml:space="preserve"> date of every month.
W4 :- 22</t>
    </r>
    <r>
      <rPr>
        <vertAlign val="superscript"/>
        <sz val="11"/>
        <rFont val="Segoe UI"/>
        <charset val="1"/>
      </rPr>
      <t>nd</t>
    </r>
    <r>
      <rPr>
        <sz val="11"/>
        <rFont val="Segoe UI"/>
        <charset val="1"/>
      </rPr>
      <t xml:space="preserve"> to 28</t>
    </r>
    <r>
      <rPr>
        <vertAlign val="superscript"/>
        <sz val="11"/>
        <rFont val="Segoe UI"/>
        <charset val="1"/>
      </rPr>
      <t>th</t>
    </r>
    <r>
      <rPr>
        <sz val="11"/>
        <rFont val="Segoe UI"/>
        <charset val="1"/>
      </rPr>
      <t xml:space="preserve"> date of every month.</t>
    </r>
  </si>
  <si>
    <t>Prepared by:</t>
  </si>
  <si>
    <t>Sr. Executive  (Maintenance)</t>
  </si>
  <si>
    <t>Maintenance Manager</t>
  </si>
  <si>
    <t xml:space="preserve">PM Records – 24-25 </t>
  </si>
  <si>
    <t xml:space="preserve">Sr. No. </t>
  </si>
  <si>
    <t xml:space="preserve">Machine Name </t>
  </si>
  <si>
    <t xml:space="preserve">April </t>
  </si>
  <si>
    <t xml:space="preserve">May </t>
  </si>
  <si>
    <t xml:space="preserve">June </t>
  </si>
  <si>
    <t xml:space="preserve">July </t>
  </si>
  <si>
    <t xml:space="preserve">Aug </t>
  </si>
  <si>
    <t xml:space="preserve">Sep </t>
  </si>
  <si>
    <t>Oct</t>
  </si>
  <si>
    <t xml:space="preserve">Nov </t>
  </si>
  <si>
    <t xml:space="preserve">Dec </t>
  </si>
  <si>
    <t xml:space="preserve">Jan </t>
  </si>
  <si>
    <t>Feb</t>
  </si>
  <si>
    <t xml:space="preserve">March </t>
  </si>
  <si>
    <t xml:space="preserve">Cx1 </t>
  </si>
  <si>
    <t xml:space="preserve">Cx2 </t>
  </si>
  <si>
    <t xml:space="preserve">Kba1 </t>
  </si>
  <si>
    <t xml:space="preserve">Kba2 </t>
  </si>
  <si>
    <t xml:space="preserve">Kba3 </t>
  </si>
  <si>
    <t xml:space="preserve">Roland </t>
  </si>
  <si>
    <t xml:space="preserve">UV Coater </t>
  </si>
  <si>
    <t xml:space="preserve">Gravure </t>
  </si>
  <si>
    <t xml:space="preserve">Albo </t>
  </si>
  <si>
    <t xml:space="preserve">Feida </t>
  </si>
  <si>
    <t xml:space="preserve">Perfecta </t>
  </si>
  <si>
    <t xml:space="preserve">Sheeter </t>
  </si>
  <si>
    <t xml:space="preserve">Sp1 </t>
  </si>
  <si>
    <t xml:space="preserve">Sp2 </t>
  </si>
  <si>
    <t xml:space="preserve">Nova2 </t>
  </si>
  <si>
    <t xml:space="preserve">BL1 </t>
  </si>
  <si>
    <t xml:space="preserve">BL2 </t>
  </si>
  <si>
    <t xml:space="preserve">Nova 5 </t>
  </si>
  <si>
    <t xml:space="preserve">Nova 6 </t>
  </si>
  <si>
    <t xml:space="preserve">BM foil </t>
  </si>
  <si>
    <t>18-11-24</t>
  </si>
  <si>
    <t xml:space="preserve">Yocco foil </t>
  </si>
  <si>
    <t xml:space="preserve">Nova3 </t>
  </si>
  <si>
    <t xml:space="preserve">Nova4 </t>
  </si>
  <si>
    <t xml:space="preserve">Sp102 </t>
  </si>
  <si>
    <t>18-12-2024</t>
  </si>
  <si>
    <t xml:space="preserve">Fortuna </t>
  </si>
  <si>
    <t xml:space="preserve">Mistral </t>
  </si>
  <si>
    <t xml:space="preserve">Alpina </t>
  </si>
  <si>
    <t xml:space="preserve">Fuego </t>
  </si>
  <si>
    <t xml:space="preserve">Vision fold </t>
  </si>
  <si>
    <t xml:space="preserve">Media </t>
  </si>
  <si>
    <t xml:space="preserve">Expert fold </t>
  </si>
  <si>
    <t>14-01-2025</t>
  </si>
  <si>
    <t>Lila 1</t>
  </si>
  <si>
    <t>Lila 2</t>
  </si>
  <si>
    <t xml:space="preserve">Paktek </t>
  </si>
  <si>
    <t>15-02-25</t>
  </si>
  <si>
    <t xml:space="preserve">BHS </t>
  </si>
  <si>
    <t>15-10-24</t>
  </si>
  <si>
    <t>16-11-24</t>
  </si>
  <si>
    <t xml:space="preserve">Champion </t>
  </si>
  <si>
    <t>15-11-24</t>
  </si>
  <si>
    <t xml:space="preserve">Lamify 1 </t>
  </si>
  <si>
    <t xml:space="preserve">Lamify2 </t>
  </si>
  <si>
    <t xml:space="preserve">Yillee </t>
  </si>
  <si>
    <t xml:space="preserve">Robus </t>
  </si>
  <si>
    <t xml:space="preserve">Poker Card </t>
  </si>
  <si>
    <t xml:space="preserve">V Cut </t>
  </si>
  <si>
    <t xml:space="preserve">Bar Coading </t>
  </si>
  <si>
    <t xml:space="preserve">Hand Punching </t>
  </si>
  <si>
    <t xml:space="preserve">Slicer </t>
  </si>
  <si>
    <t xml:space="preserve">Sliting </t>
  </si>
  <si>
    <t>Auto Print 1</t>
  </si>
  <si>
    <t>Auto Print 2</t>
  </si>
  <si>
    <t xml:space="preserve">Lable Pasting </t>
  </si>
  <si>
    <t>Annual Preventive Maintenance Schedule – 2025-2026
(Productive Machines)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</si>
  <si>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</si>
  <si>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</si>
  <si>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</si>
  <si>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</si>
  <si>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</si>
  <si>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</si>
  <si>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</si>
  <si>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</si>
  <si>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</si>
  <si>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</si>
  <si>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</si>
  <si>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</si>
  <si>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04-05-2025</t>
  </si>
  <si>
    <t>07-08-25</t>
  </si>
  <si>
    <t>02-07-2025</t>
  </si>
  <si>
    <t>03-05-2025</t>
  </si>
  <si>
    <t>05-07-2025</t>
  </si>
  <si>
    <t>01-04-2025</t>
  </si>
  <si>
    <t>07-07-2025</t>
  </si>
  <si>
    <t>05-08-2025</t>
  </si>
  <si>
    <t>11-05-2025</t>
  </si>
  <si>
    <t>Gravuere Coating  machine</t>
  </si>
  <si>
    <t>09-07-2025</t>
  </si>
  <si>
    <t>05-04-25</t>
  </si>
  <si>
    <t>11-04-2025</t>
  </si>
  <si>
    <t>16-05-2025</t>
  </si>
  <si>
    <t>10-06-2025</t>
  </si>
  <si>
    <t>10-05-2025</t>
  </si>
  <si>
    <t>0-06-2025</t>
  </si>
  <si>
    <t>09-04-2025</t>
  </si>
  <si>
    <t>02-05-2025</t>
  </si>
  <si>
    <t>07-06-2025</t>
  </si>
  <si>
    <t>16-08-2025</t>
  </si>
  <si>
    <t>06-05-2025</t>
  </si>
  <si>
    <t>03-08-2025</t>
  </si>
  <si>
    <t>04-04-2025</t>
  </si>
  <si>
    <t>12-05-2025</t>
  </si>
  <si>
    <t>01-07-2025</t>
  </si>
  <si>
    <t>13-08-2025</t>
  </si>
  <si>
    <t>12-04-2025</t>
  </si>
  <si>
    <t>14-06-2025</t>
  </si>
  <si>
    <t>17-07-2025</t>
  </si>
  <si>
    <t>14-08-2025</t>
  </si>
  <si>
    <t>04-06-2025</t>
  </si>
  <si>
    <t>21-07-2025</t>
  </si>
  <si>
    <t>07-05-2025</t>
  </si>
  <si>
    <t>11-07-2025</t>
  </si>
  <si>
    <t>21/01/2026</t>
  </si>
  <si>
    <t>09-05-2025</t>
  </si>
  <si>
    <t>10-07-2025</t>
  </si>
  <si>
    <t>14-05-2025</t>
  </si>
  <si>
    <t>IPBM folder gluer - Fortuna  NEW
Make :- IPBM ; Sr. No. :- 0032-CH.</t>
  </si>
  <si>
    <t>MNT / NF / 016</t>
  </si>
  <si>
    <t>IPBM folder gluer - Fortuna old (LF - IV - 700)
Make :- IPBM ; Sr. No. :- 0032-CH.</t>
  </si>
  <si>
    <t>16-07-2025</t>
  </si>
  <si>
    <t>05-06-2025</t>
  </si>
  <si>
    <t>04-08-2025</t>
  </si>
  <si>
    <t>27//11/2025</t>
  </si>
  <si>
    <t>11-05-25</t>
  </si>
  <si>
    <t>02-08-2025</t>
  </si>
  <si>
    <t>03-04-2025</t>
  </si>
  <si>
    <t>01-08-2025</t>
  </si>
  <si>
    <t>08-04-2025</t>
  </si>
  <si>
    <t>19/01/2026</t>
  </si>
  <si>
    <t xml:space="preserve"> </t>
  </si>
  <si>
    <t>OTHER</t>
  </si>
  <si>
    <t>12 to  14-01-2026</t>
  </si>
  <si>
    <t>09  to 11-01-2026</t>
  </si>
  <si>
    <t>SHUN XIN LONG Offline Blanker machine(blankewiser)
Make :- SHUN XIN LONG ;</t>
  </si>
  <si>
    <t xml:space="preserve">                                                                       .</t>
  </si>
  <si>
    <t>Annual Preventive Maintenance Schedule – 2026-2027
(Productive Machines)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</si>
  <si>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</si>
  <si>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</si>
  <si>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</si>
  <si>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</si>
  <si>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</si>
  <si>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</si>
  <si>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</si>
  <si>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</si>
  <si>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</si>
  <si>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</si>
  <si>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</si>
  <si>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</si>
  <si>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Monthwise %</t>
  </si>
  <si>
    <t>Yearlly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</si>
</sst>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-mmm\-yy;@"/>
    <numFmt numFmtId="165" formatCode="dd/mm/yy"/>
  </numFmts>
  <fonts count="21">
    <font>
      <sz val="10"/>
      <name val="Arial"/>
      <family val="2"/>
      <charset val="1"/>
    </font>
    <font>
      <sz val="8"/>
      <name val="Calibri"/>
      <charset val="1"/>
    </font>
    <font>
      <sz val="8"/>
      <color indexed="55"/>
      <name val="Calibri"/>
      <charset val="1"/>
    </font>
    <font>
      <b/>
      <sz val="18"/>
      <color indexed="55"/>
      <name val="Segoe UI"/>
      <charset val="1"/>
    </font>
    <font>
      <b/>
      <sz val="11"/>
      <name val="Segoe UI"/>
      <charset val="1"/>
    </font>
    <font>
      <b/>
      <sz val="11"/>
      <color indexed="55"/>
      <name val="Segoe UI"/>
      <charset val="1"/>
    </font>
    <font>
      <sz val="11"/>
      <name val="Segoe UI"/>
      <charset val="1"/>
    </font>
    <font>
      <sz val="8"/>
      <name val="DejaVu Serif"/>
      <family val="1"/>
      <charset val="1"/>
    </font>
    <font>
      <sz val="11"/>
      <color indexed="55"/>
      <name val="Segoe UI"/>
      <charset val="1"/>
    </font>
    <font>
      <sz val="8"/>
      <color indexed="55"/>
      <name val="DejaVu Serif"/>
      <family val="1"/>
      <charset val="1"/>
    </font>
    <font>
      <sz val="9"/>
      <color indexed="55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charset val="1"/>
    </font>
    <font>
      <b/>
      <sz val="10"/>
      <name val="DejaVu Serif"/>
      <family val="1"/>
      <charset val="1"/>
    </font>
    <font>
      <b/>
      <sz val="8"/>
      <name val="DejaVu Serif"/>
      <family val="1"/>
      <charset val="1"/>
    </font>
    <font>
      <vertAlign val="superscript"/>
      <sz val="11"/>
      <name val="Segoe UI"/>
      <charset val="1"/>
    </font>
    <font>
      <sz val="9"/>
      <name val="DejaVu Serif"/>
      <family val="1"/>
      <charset val="1"/>
    </font>
    <font>
      <sz val="11"/>
      <name val="Segoe UI"/>
      <family val="2"/>
    </font>
    <font>
      <sz val="8"/>
      <color theme="1"/>
      <name val="DejaVu Serif"/>
      <family val="1"/>
      <charset val="1"/>
    </font>
    <font>
      <sz val="10"/>
      <name val="Arial"/>
      <family val="2"/>
      <charset val="1"/>
    </font>
    <font>
      <sz val="12"/>
      <color indexed="55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9"/>
        <bgColor indexed="14"/>
      </patternFill>
    </fill>
    <fill>
      <patternFill patternType="solid">
        <fgColor indexed="44"/>
        <bgColor indexed="45"/>
      </patternFill>
    </fill>
    <fill>
      <patternFill patternType="solid">
        <fgColor indexed="26"/>
        <bgColor indexed="18"/>
      </patternFill>
    </fill>
    <fill>
      <patternFill patternType="solid">
        <fgColor indexed="26"/>
        <bgColor indexed="26"/>
      </patternFill>
    </fill>
    <fill>
      <patternFill patternType="solid">
        <fgColor indexed="19"/>
        <bgColor indexed="18"/>
      </patternFill>
    </fill>
    <fill>
      <patternFill patternType="solid">
        <fgColor indexed="22"/>
        <bgColor indexed="13"/>
      </patternFill>
    </fill>
    <fill>
      <patternFill patternType="solid">
        <fgColor indexed="43"/>
        <bgColor indexed="26"/>
      </patternFill>
    </fill>
    <fill>
      <patternFill patternType="solid">
        <fgColor indexed="42"/>
        <bgColor indexed="47"/>
      </patternFill>
    </fill>
    <fill>
      <patternFill patternType="solid">
        <fgColor indexed="19"/>
        <bgColor indexed="26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2"/>
      </patternFill>
    </fill>
    <fill>
      <patternFill patternType="solid">
        <fgColor indexed="45"/>
        <bgColor indexed="44"/>
      </patternFill>
    </fill>
    <fill>
      <patternFill patternType="solid">
        <fgColor indexed="18"/>
        <bgColor indexed="19"/>
      </patternFill>
    </fill>
    <fill>
      <patternFill patternType="solid">
        <fgColor indexed="19"/>
        <bgColor indexed="19"/>
      </patternFill>
    </fill>
    <fill>
      <patternFill patternType="solid">
        <fgColor rgb="FFFFFF00"/>
        <bgColor indexed="18"/>
      </patternFill>
    </fill>
    <fill>
      <patternFill patternType="solid">
        <fgColor theme="9"/>
        <bgColor indexed="18"/>
      </patternFill>
    </fill>
    <fill>
      <patternFill patternType="solid">
        <fgColor theme="2"/>
        <bgColor indexed="18"/>
      </patternFill>
    </fill>
    <fill>
      <patternFill patternType="solid">
        <fgColor theme="0"/>
        <bgColor indexed="18"/>
      </patternFill>
    </fill>
    <fill>
      <patternFill patternType="solid">
        <fgColor theme="9" tint="-0.249977111117893"/>
        <bgColor indexed="18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9" fillId="0" borderId="0" applyFont="0" applyFill="0" applyBorder="0" applyAlignment="0" applyProtection="0"/>
  </cellStyleXfs>
  <cellXfs count="151">
    <xf numFmtId="0" fontId="0" fillId="0" borderId="0" xfId="0" applyAlignment="1"/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49" fontId="5" fillId="2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165" fontId="7" fillId="5" borderId="3" xfId="0" applyNumberFormat="1" applyFont="1" applyFill="1" applyBorder="1" applyAlignment="1">
      <alignment horizontal="center" vertical="center"/>
    </xf>
    <xf numFmtId="14" fontId="7" fillId="6" borderId="3" xfId="0" applyNumberFormat="1" applyFont="1" applyFill="1" applyBorder="1" applyAlignment="1">
      <alignment horizontal="center" vertical="center"/>
    </xf>
    <xf numFmtId="165" fontId="7" fillId="6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14" fontId="7" fillId="4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/>
    <xf numFmtId="0" fontId="7" fillId="6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vertical="center"/>
    </xf>
    <xf numFmtId="0" fontId="6" fillId="12" borderId="5" xfId="0" applyFont="1" applyFill="1" applyBorder="1" applyAlignment="1">
      <alignment vertical="center"/>
    </xf>
    <xf numFmtId="14" fontId="7" fillId="4" borderId="3" xfId="0" applyNumberFormat="1" applyFont="1" applyFill="1" applyBorder="1" applyAlignment="1">
      <alignment vertical="center"/>
    </xf>
    <xf numFmtId="0" fontId="9" fillId="5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65" fontId="7" fillId="10" borderId="3" xfId="0" applyNumberFormat="1" applyFont="1" applyFill="1" applyBorder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14" fontId="7" fillId="4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4" fontId="7" fillId="4" borderId="3" xfId="0" applyNumberFormat="1" applyFont="1" applyFill="1" applyBorder="1" applyAlignment="1"/>
    <xf numFmtId="0" fontId="7" fillId="5" borderId="3" xfId="0" applyFont="1" applyFill="1" applyBorder="1" applyAlignment="1"/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13" borderId="0" xfId="0" applyFont="1" applyFill="1" applyAlignment="1">
      <alignment vertical="top"/>
    </xf>
    <xf numFmtId="0" fontId="0" fillId="0" borderId="0" xfId="0" applyFont="1" applyBorder="1" applyAlignment="1"/>
    <xf numFmtId="164" fontId="10" fillId="6" borderId="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/>
    <xf numFmtId="0" fontId="1" fillId="5" borderId="0" xfId="0" applyFont="1" applyFill="1" applyAlignment="1">
      <alignment vertical="top"/>
    </xf>
    <xf numFmtId="0" fontId="0" fillId="0" borderId="0" xfId="0" applyFont="1" applyFill="1" applyBorder="1" applyAlignment="1"/>
    <xf numFmtId="0" fontId="0" fillId="0" borderId="0" xfId="0" applyBorder="1" applyAlignment="1"/>
    <xf numFmtId="0" fontId="1" fillId="0" borderId="0" xfId="0" applyFont="1" applyBorder="1" applyAlignment="1">
      <alignment vertical="top"/>
    </xf>
    <xf numFmtId="0" fontId="7" fillId="6" borderId="0" xfId="0" applyFont="1" applyFill="1" applyBorder="1" applyAlignment="1"/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vertical="top"/>
    </xf>
    <xf numFmtId="0" fontId="11" fillId="0" borderId="3" xfId="0" applyFont="1" applyBorder="1" applyAlignment="1"/>
    <xf numFmtId="164" fontId="10" fillId="6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/>
    <xf numFmtId="0" fontId="0" fillId="0" borderId="3" xfId="0" applyFont="1" applyBorder="1" applyAlignment="1"/>
    <xf numFmtId="0" fontId="1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165" fontId="7" fillId="14" borderId="3" xfId="0" applyNumberFormat="1" applyFont="1" applyFill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14" fontId="7" fillId="14" borderId="3" xfId="0" applyNumberFormat="1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/>
    </xf>
    <xf numFmtId="0" fontId="7" fillId="0" borderId="3" xfId="0" applyFont="1" applyBorder="1" applyAlignment="1"/>
    <xf numFmtId="0" fontId="7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165" fontId="6" fillId="0" borderId="0" xfId="0" applyNumberFormat="1" applyFont="1" applyBorder="1" applyAlignment="1">
      <alignment horizontal="center" vertical="center"/>
    </xf>
    <xf numFmtId="14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vertical="top"/>
    </xf>
    <xf numFmtId="0" fontId="7" fillId="14" borderId="3" xfId="0" applyFont="1" applyFill="1" applyBorder="1" applyAlignment="1">
      <alignment horizontal="center" vertical="top"/>
    </xf>
    <xf numFmtId="0" fontId="6" fillId="12" borderId="2" xfId="0" applyFont="1" applyFill="1" applyBorder="1" applyAlignment="1">
      <alignment horizontal="center" vertical="center"/>
    </xf>
    <xf numFmtId="165" fontId="7" fillId="16" borderId="3" xfId="0" applyNumberFormat="1" applyFont="1" applyFill="1" applyBorder="1" applyAlignment="1">
      <alignment horizontal="center" vertical="center"/>
    </xf>
    <xf numFmtId="14" fontId="7" fillId="16" borderId="3" xfId="0" applyNumberFormat="1" applyFont="1" applyFill="1" applyBorder="1" applyAlignment="1">
      <alignment horizontal="center" vertical="center"/>
    </xf>
    <xf numFmtId="165" fontId="7" fillId="17" borderId="3" xfId="0" applyNumberFormat="1" applyFont="1" applyFill="1" applyBorder="1" applyAlignment="1">
      <alignment horizontal="center" vertical="center"/>
    </xf>
    <xf numFmtId="14" fontId="7" fillId="17" borderId="3" xfId="0" applyNumberFormat="1" applyFont="1" applyFill="1" applyBorder="1" applyAlignment="1">
      <alignment horizontal="center" vertical="center"/>
    </xf>
    <xf numFmtId="165" fontId="7" fillId="18" borderId="3" xfId="0" applyNumberFormat="1" applyFont="1" applyFill="1" applyBorder="1" applyAlignment="1">
      <alignment horizontal="center" vertical="center"/>
    </xf>
    <xf numFmtId="165" fontId="16" fillId="6" borderId="3" xfId="0" applyNumberFormat="1" applyFont="1" applyFill="1" applyBorder="1" applyAlignment="1">
      <alignment horizontal="center" vertical="center"/>
    </xf>
    <xf numFmtId="14" fontId="7" fillId="17" borderId="3" xfId="0" applyNumberFormat="1" applyFont="1" applyFill="1" applyBorder="1" applyAlignment="1"/>
    <xf numFmtId="14" fontId="7" fillId="17" borderId="3" xfId="0" applyNumberFormat="1" applyFont="1" applyFill="1" applyBorder="1" applyAlignment="1">
      <alignment horizontal="center"/>
    </xf>
    <xf numFmtId="0" fontId="17" fillId="0" borderId="2" xfId="0" applyFont="1" applyBorder="1" applyAlignment="1">
      <alignment horizontal="left" vertical="center" wrapText="1"/>
    </xf>
    <xf numFmtId="14" fontId="18" fillId="17" borderId="3" xfId="0" applyNumberFormat="1" applyFont="1" applyFill="1" applyBorder="1" applyAlignment="1">
      <alignment horizontal="center"/>
    </xf>
    <xf numFmtId="165" fontId="6" fillId="17" borderId="2" xfId="0" applyNumberFormat="1" applyFont="1" applyFill="1" applyBorder="1" applyAlignment="1">
      <alignment horizontal="center" vertical="center"/>
    </xf>
    <xf numFmtId="14" fontId="7" fillId="19" borderId="3" xfId="0" applyNumberFormat="1" applyFont="1" applyFill="1" applyBorder="1" applyAlignment="1">
      <alignment horizontal="center" vertical="center"/>
    </xf>
    <xf numFmtId="165" fontId="7" fillId="20" borderId="3" xfId="0" applyNumberFormat="1" applyFont="1" applyFill="1" applyBorder="1" applyAlignment="1">
      <alignment horizontal="center" vertical="center"/>
    </xf>
    <xf numFmtId="14" fontId="7" fillId="20" borderId="3" xfId="0" applyNumberFormat="1" applyFont="1" applyFill="1" applyBorder="1" applyAlignment="1">
      <alignment horizontal="center" vertical="center"/>
    </xf>
    <xf numFmtId="165" fontId="7" fillId="19" borderId="3" xfId="0" applyNumberFormat="1" applyFont="1" applyFill="1" applyBorder="1" applyAlignment="1">
      <alignment horizontal="center" vertical="center"/>
    </xf>
    <xf numFmtId="165" fontId="7" fillId="21" borderId="3" xfId="0" applyNumberFormat="1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center" vertical="center"/>
    </xf>
    <xf numFmtId="0" fontId="1" fillId="22" borderId="0" xfId="0" applyFont="1" applyFill="1" applyAlignment="1">
      <alignment vertical="top"/>
    </xf>
    <xf numFmtId="0" fontId="7" fillId="19" borderId="3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 vertical="center"/>
    </xf>
    <xf numFmtId="14" fontId="7" fillId="19" borderId="3" xfId="0" applyNumberFormat="1" applyFont="1" applyFill="1" applyBorder="1" applyAlignment="1">
      <alignment vertical="center"/>
    </xf>
    <xf numFmtId="0" fontId="7" fillId="19" borderId="3" xfId="0" applyFont="1" applyFill="1" applyBorder="1" applyAlignment="1"/>
    <xf numFmtId="0" fontId="7" fillId="21" borderId="3" xfId="0" applyFont="1" applyFill="1" applyBorder="1" applyAlignment="1">
      <alignment horizontal="center"/>
    </xf>
    <xf numFmtId="165" fontId="16" fillId="19" borderId="3" xfId="0" applyNumberFormat="1" applyFont="1" applyFill="1" applyBorder="1" applyAlignment="1">
      <alignment horizontal="center" vertical="center"/>
    </xf>
    <xf numFmtId="0" fontId="9" fillId="21" borderId="3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center" vertical="center"/>
    </xf>
    <xf numFmtId="165" fontId="6" fillId="19" borderId="2" xfId="0" applyNumberFormat="1" applyFont="1" applyFill="1" applyBorder="1" applyAlignment="1">
      <alignment horizontal="center" vertical="center"/>
    </xf>
    <xf numFmtId="14" fontId="7" fillId="19" borderId="2" xfId="0" applyNumberFormat="1" applyFont="1" applyFill="1" applyBorder="1" applyAlignment="1">
      <alignment horizontal="center" vertical="center"/>
    </xf>
    <xf numFmtId="14" fontId="7" fillId="19" borderId="3" xfId="0" applyNumberFormat="1" applyFont="1" applyFill="1" applyBorder="1" applyAlignment="1"/>
    <xf numFmtId="14" fontId="7" fillId="19" borderId="3" xfId="0" applyNumberFormat="1" applyFont="1" applyFill="1" applyBorder="1" applyAlignment="1">
      <alignment horizontal="center"/>
    </xf>
    <xf numFmtId="0" fontId="7" fillId="21" borderId="3" xfId="0" applyFont="1" applyFill="1" applyBorder="1" applyAlignment="1"/>
    <xf numFmtId="14" fontId="18" fillId="19" borderId="3" xfId="0" applyNumberFormat="1" applyFont="1" applyFill="1" applyBorder="1" applyAlignment="1">
      <alignment horizontal="center"/>
    </xf>
    <xf numFmtId="0" fontId="7" fillId="19" borderId="0" xfId="0" applyFont="1" applyFill="1" applyBorder="1" applyAlignment="1"/>
    <xf numFmtId="165" fontId="7" fillId="23" borderId="3" xfId="0" applyNumberFormat="1" applyFont="1" applyFill="1" applyBorder="1" applyAlignment="1">
      <alignment horizontal="center" vertical="center"/>
    </xf>
    <xf numFmtId="14" fontId="7" fillId="23" borderId="3" xfId="0" applyNumberFormat="1" applyFont="1" applyFill="1" applyBorder="1" applyAlignment="1">
      <alignment horizontal="center" vertical="center"/>
    </xf>
    <xf numFmtId="14" fontId="7" fillId="16" borderId="3" xfId="0" applyNumberFormat="1" applyFont="1" applyFill="1" applyBorder="1" applyAlignment="1"/>
    <xf numFmtId="14" fontId="7" fillId="16" borderId="3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165" fontId="7" fillId="4" borderId="7" xfId="0" applyNumberFormat="1" applyFont="1" applyFill="1" applyBorder="1" applyAlignment="1">
      <alignment horizontal="center" vertical="center"/>
    </xf>
    <xf numFmtId="165" fontId="7" fillId="6" borderId="7" xfId="0" applyNumberFormat="1" applyFont="1" applyFill="1" applyBorder="1" applyAlignment="1">
      <alignment horizontal="center" vertical="center"/>
    </xf>
    <xf numFmtId="14" fontId="7" fillId="4" borderId="7" xfId="0" applyNumberFormat="1" applyFont="1" applyFill="1" applyBorder="1" applyAlignment="1">
      <alignment horizontal="center" vertical="center"/>
    </xf>
    <xf numFmtId="14" fontId="7" fillId="17" borderId="7" xfId="0" applyNumberFormat="1" applyFont="1" applyFill="1" applyBorder="1" applyAlignment="1">
      <alignment horizontal="center"/>
    </xf>
    <xf numFmtId="14" fontId="7" fillId="17" borderId="7" xfId="0" applyNumberFormat="1" applyFont="1" applyFill="1" applyBorder="1" applyAlignment="1"/>
    <xf numFmtId="0" fontId="7" fillId="6" borderId="7" xfId="0" applyFont="1" applyFill="1" applyBorder="1" applyAlignment="1">
      <alignment horizontal="center" vertical="center"/>
    </xf>
    <xf numFmtId="14" fontId="7" fillId="16" borderId="8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165" fontId="7" fillId="16" borderId="8" xfId="0" applyNumberFormat="1" applyFont="1" applyFill="1" applyBorder="1" applyAlignment="1">
      <alignment horizontal="center" vertical="center"/>
    </xf>
    <xf numFmtId="165" fontId="7" fillId="6" borderId="8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/>
    </xf>
    <xf numFmtId="14" fontId="7" fillId="19" borderId="8" xfId="0" applyNumberFormat="1" applyFont="1" applyFill="1" applyBorder="1" applyAlignment="1">
      <alignment horizontal="center" vertical="center"/>
    </xf>
    <xf numFmtId="49" fontId="8" fillId="0" borderId="0" xfId="0" applyNumberFormat="1" applyFont="1" applyBorder="1" applyAlignment="1">
      <alignment vertical="center"/>
    </xf>
    <xf numFmtId="165" fontId="6" fillId="6" borderId="9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/>
    <xf numFmtId="9" fontId="0" fillId="24" borderId="2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9" fontId="0" fillId="24" borderId="2" xfId="1" applyFont="1" applyFill="1" applyBorder="1" applyAlignment="1">
      <alignment horizontal="center" vertical="center"/>
    </xf>
    <xf numFmtId="9" fontId="0" fillId="24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0" fillId="1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D7"/>
      <rgbColor rgb="00EEEEEE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8000"/>
      <rgbColor rgb="00666699"/>
      <rgbColor rgb="0089C765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95250</xdr:rowOff>
    </xdr:from>
    <xdr:to>
      <xdr:col>1</xdr:col>
      <xdr:colOff>304800</xdr:colOff>
      <xdr:row>2</xdr:row>
      <xdr:rowOff>85725</xdr:rowOff>
    </xdr:to>
    <xdr:pic>
      <xdr:nvPicPr>
        <xdr:cNvPr id="1025" name="Picture 1" descr="rId1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50"/>
          <a:ext cx="5905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95250</xdr:rowOff>
    </xdr:from>
    <xdr:to>
      <xdr:col>1</xdr:col>
      <xdr:colOff>215724</xdr:colOff>
      <xdr:row>2</xdr:row>
      <xdr:rowOff>85725</xdr:rowOff>
    </xdr:to>
    <xdr:pic>
      <xdr:nvPicPr>
        <xdr:cNvPr id="3073" name="Picture 1" descr="rId1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50"/>
          <a:ext cx="5905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3"/>
  <sheetViews>
    <sheetView topLeftCell="H7" zoomScale="86" zoomScaleNormal="86" workbookViewId="0">
      <selection activeCell="Y9" sqref="Y9"/>
    </sheetView>
  </sheetViews>
  <sheetFormatPr defaultColWidth="9.1796875" defaultRowHeight="12.5"/>
  <cols>
    <col min="1" max="1" width="5.7265625" style="2" customWidth="1"/>
    <col min="2" max="2" width="13.81640625" style="2" customWidth="1"/>
    <col min="3" max="3" width="64.453125" style="2" customWidth="1"/>
    <col min="4" max="4" width="13.1796875" style="2" customWidth="1"/>
    <col min="5" max="5" width="17" style="2" customWidth="1"/>
    <col min="6" max="6" width="13.1796875" style="2" customWidth="1"/>
    <col min="7" max="7" width="10.81640625" style="2" customWidth="1"/>
    <col min="8" max="18" width="13" style="3" customWidth="1"/>
    <col min="19" max="19" width="16.81640625" style="3" customWidth="1"/>
    <col min="20" max="1023" width="9.1796875" style="3"/>
  </cols>
  <sheetData>
    <row r="1" spans="1:21" ht="20.149999999999999" customHeight="1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36" t="s">
        <v>1</v>
      </c>
      <c r="R1" s="111" t="s">
        <v>2</v>
      </c>
      <c r="S1" s="111"/>
    </row>
    <row r="2" spans="1:21" ht="20.149999999999999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36" t="s">
        <v>3</v>
      </c>
      <c r="R2" s="112" t="s">
        <v>4</v>
      </c>
      <c r="S2" s="112"/>
    </row>
    <row r="3" spans="1:21" ht="20.149999999999999" customHeight="1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37" t="s">
        <v>5</v>
      </c>
      <c r="R3" s="113" t="s">
        <v>6</v>
      </c>
      <c r="S3" s="113"/>
    </row>
    <row r="4" spans="1:21" ht="20.149999999999999" customHeight="1">
      <c r="A4" s="115" t="s">
        <v>7</v>
      </c>
      <c r="B4" s="115" t="s">
        <v>8</v>
      </c>
      <c r="C4" s="115" t="s">
        <v>9</v>
      </c>
      <c r="D4" s="115" t="s">
        <v>10</v>
      </c>
      <c r="E4" s="115" t="s">
        <v>11</v>
      </c>
      <c r="F4" s="115" t="s">
        <v>12</v>
      </c>
      <c r="G4" s="115" t="s">
        <v>13</v>
      </c>
      <c r="H4" s="114" t="s">
        <v>14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</row>
    <row r="5" spans="1:21" ht="33" customHeight="1">
      <c r="A5" s="115"/>
      <c r="B5" s="115"/>
      <c r="C5" s="115"/>
      <c r="D5" s="115"/>
      <c r="E5" s="115"/>
      <c r="F5" s="115"/>
      <c r="G5" s="115"/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U5" s="38" t="s">
        <v>27</v>
      </c>
    </row>
    <row r="6" spans="1:21" s="1" customFormat="1" ht="40" customHeight="1">
      <c r="A6" s="5">
        <v>1</v>
      </c>
      <c r="B6" s="118" t="s">
        <v>28</v>
      </c>
      <c r="C6" s="7" t="s">
        <v>29</v>
      </c>
      <c r="D6" s="8" t="s">
        <v>30</v>
      </c>
      <c r="E6" s="9" t="s">
        <v>31</v>
      </c>
      <c r="F6" s="10" t="s">
        <v>32</v>
      </c>
      <c r="G6" s="8" t="s">
        <v>33</v>
      </c>
      <c r="H6" s="55" t="s">
        <v>34</v>
      </c>
      <c r="I6" s="55" t="s">
        <v>35</v>
      </c>
      <c r="J6" s="56"/>
      <c r="K6" s="55" t="s">
        <v>36</v>
      </c>
      <c r="L6" s="55" t="s">
        <v>37</v>
      </c>
      <c r="M6" s="57" t="s">
        <v>38</v>
      </c>
      <c r="N6" s="56"/>
      <c r="O6" s="55" t="s">
        <v>39</v>
      </c>
      <c r="P6" s="55" t="s">
        <v>40</v>
      </c>
      <c r="Q6" s="55" t="s">
        <v>41</v>
      </c>
      <c r="R6" s="62"/>
      <c r="S6" s="62"/>
    </row>
    <row r="7" spans="1:21" s="1" customFormat="1" ht="40" customHeight="1">
      <c r="A7" s="5">
        <v>2</v>
      </c>
      <c r="B7" s="118"/>
      <c r="C7" s="7" t="s">
        <v>42</v>
      </c>
      <c r="D7" s="8" t="s">
        <v>30</v>
      </c>
      <c r="E7" s="9" t="s">
        <v>43</v>
      </c>
      <c r="F7" s="10" t="s">
        <v>44</v>
      </c>
      <c r="G7" s="8" t="s">
        <v>33</v>
      </c>
      <c r="H7" s="55" t="s">
        <v>34</v>
      </c>
      <c r="I7" s="56"/>
      <c r="J7" s="57" t="s">
        <v>45</v>
      </c>
      <c r="K7" s="55" t="s">
        <v>36</v>
      </c>
      <c r="L7" s="55" t="s">
        <v>37</v>
      </c>
      <c r="M7" s="55" t="s">
        <v>46</v>
      </c>
      <c r="N7" s="55" t="s">
        <v>47</v>
      </c>
      <c r="O7" s="56"/>
      <c r="P7" s="55" t="s">
        <v>48</v>
      </c>
      <c r="Q7" s="56"/>
      <c r="R7" s="62"/>
      <c r="S7" s="62"/>
    </row>
    <row r="8" spans="1:21" s="1" customFormat="1" ht="40" customHeight="1">
      <c r="A8" s="5">
        <v>3</v>
      </c>
      <c r="B8" s="118"/>
      <c r="C8" s="7" t="s">
        <v>49</v>
      </c>
      <c r="D8" s="8" t="s">
        <v>30</v>
      </c>
      <c r="E8" s="9" t="s">
        <v>50</v>
      </c>
      <c r="F8" s="10" t="s">
        <v>51</v>
      </c>
      <c r="G8" s="9" t="s">
        <v>33</v>
      </c>
      <c r="H8" s="58" t="s">
        <v>52</v>
      </c>
      <c r="I8" s="56"/>
      <c r="J8" s="57" t="s">
        <v>45</v>
      </c>
      <c r="K8" s="55" t="s">
        <v>36</v>
      </c>
      <c r="L8" s="56"/>
      <c r="M8" s="55" t="s">
        <v>46</v>
      </c>
      <c r="N8" s="55" t="s">
        <v>53</v>
      </c>
      <c r="O8" s="56"/>
      <c r="P8" s="56"/>
      <c r="Q8" s="55" t="s">
        <v>54</v>
      </c>
      <c r="R8" s="56"/>
      <c r="S8" s="62" t="s">
        <v>55</v>
      </c>
      <c r="U8" s="42"/>
    </row>
    <row r="9" spans="1:21" s="1" customFormat="1" ht="40" customHeight="1">
      <c r="A9" s="5">
        <v>4</v>
      </c>
      <c r="B9" s="118"/>
      <c r="C9" s="7" t="s">
        <v>56</v>
      </c>
      <c r="D9" s="8" t="s">
        <v>30</v>
      </c>
      <c r="E9" s="9" t="s">
        <v>57</v>
      </c>
      <c r="F9" s="10" t="s">
        <v>58</v>
      </c>
      <c r="G9" s="9" t="s">
        <v>33</v>
      </c>
      <c r="H9" s="58" t="s">
        <v>59</v>
      </c>
      <c r="I9" s="56"/>
      <c r="J9" s="55" t="s">
        <v>60</v>
      </c>
      <c r="K9" s="55" t="s">
        <v>36</v>
      </c>
      <c r="L9" s="55" t="s">
        <v>37</v>
      </c>
      <c r="M9" s="56"/>
      <c r="N9" s="55" t="s">
        <v>61</v>
      </c>
      <c r="O9" s="56"/>
      <c r="P9" s="56"/>
      <c r="Q9" s="55" t="s">
        <v>62</v>
      </c>
      <c r="R9" s="55" t="s">
        <v>63</v>
      </c>
      <c r="S9" s="20" t="s">
        <v>64</v>
      </c>
    </row>
    <row r="10" spans="1:21" s="1" customFormat="1" ht="40" customHeight="1">
      <c r="A10" s="5">
        <v>5</v>
      </c>
      <c r="B10" s="118"/>
      <c r="C10" s="7" t="s">
        <v>65</v>
      </c>
      <c r="D10" s="8" t="s">
        <v>30</v>
      </c>
      <c r="E10" s="9" t="s">
        <v>66</v>
      </c>
      <c r="F10" s="10" t="s">
        <v>67</v>
      </c>
      <c r="G10" s="9" t="s">
        <v>33</v>
      </c>
      <c r="H10" s="56"/>
      <c r="I10" s="55" t="s">
        <v>35</v>
      </c>
      <c r="J10" s="55" t="s">
        <v>68</v>
      </c>
      <c r="K10" s="55" t="s">
        <v>36</v>
      </c>
      <c r="L10" s="56"/>
      <c r="M10" s="55" t="s">
        <v>46</v>
      </c>
      <c r="N10" s="56"/>
      <c r="O10" s="56"/>
      <c r="P10" s="55" t="s">
        <v>69</v>
      </c>
      <c r="Q10" s="56"/>
      <c r="R10" s="62"/>
      <c r="S10" s="62" t="s">
        <v>70</v>
      </c>
    </row>
    <row r="11" spans="1:21" s="1" customFormat="1" ht="40" customHeight="1">
      <c r="A11" s="5">
        <v>6</v>
      </c>
      <c r="B11" s="118"/>
      <c r="C11" s="7" t="s">
        <v>71</v>
      </c>
      <c r="D11" s="8" t="s">
        <v>30</v>
      </c>
      <c r="E11" s="9" t="s">
        <v>72</v>
      </c>
      <c r="F11" s="10" t="s">
        <v>73</v>
      </c>
      <c r="G11" s="9" t="s">
        <v>74</v>
      </c>
      <c r="H11" s="56"/>
      <c r="I11" s="55" t="s">
        <v>75</v>
      </c>
      <c r="J11" s="19"/>
      <c r="K11" s="55" t="s">
        <v>36</v>
      </c>
      <c r="L11" s="59"/>
      <c r="M11" s="57" t="s">
        <v>76</v>
      </c>
      <c r="N11" s="55" t="s">
        <v>77</v>
      </c>
      <c r="O11" s="56"/>
      <c r="P11" s="55" t="s">
        <v>78</v>
      </c>
      <c r="Q11" s="55" t="s">
        <v>79</v>
      </c>
      <c r="R11" s="56"/>
      <c r="S11" s="62" t="s">
        <v>80</v>
      </c>
    </row>
    <row r="12" spans="1:21" s="1" customFormat="1" ht="49.5" customHeight="1">
      <c r="A12" s="5">
        <v>7</v>
      </c>
      <c r="B12" s="118"/>
      <c r="C12" s="7" t="s">
        <v>81</v>
      </c>
      <c r="D12" s="8" t="s">
        <v>30</v>
      </c>
      <c r="E12" s="9" t="s">
        <v>82</v>
      </c>
      <c r="F12" s="10" t="s">
        <v>83</v>
      </c>
      <c r="G12" s="8" t="s">
        <v>33</v>
      </c>
      <c r="H12" s="60" t="s">
        <v>84</v>
      </c>
      <c r="I12" s="61"/>
      <c r="J12" s="60" t="s">
        <v>85</v>
      </c>
      <c r="K12" s="60" t="s">
        <v>86</v>
      </c>
      <c r="L12" s="61"/>
      <c r="M12" s="60" t="s">
        <v>87</v>
      </c>
      <c r="N12" s="60" t="s">
        <v>88</v>
      </c>
      <c r="O12" s="60" t="s">
        <v>89</v>
      </c>
      <c r="P12" s="60" t="s">
        <v>90</v>
      </c>
      <c r="Q12" s="60" t="s">
        <v>91</v>
      </c>
      <c r="R12" s="61"/>
      <c r="S12" s="61"/>
    </row>
    <row r="13" spans="1:21" s="1" customFormat="1" ht="40" customHeight="1">
      <c r="A13" s="5">
        <v>8</v>
      </c>
      <c r="B13" s="118"/>
      <c r="C13" s="16" t="s">
        <v>92</v>
      </c>
      <c r="D13" s="8" t="s">
        <v>30</v>
      </c>
      <c r="E13" s="9" t="s">
        <v>31</v>
      </c>
      <c r="F13" s="10" t="s">
        <v>93</v>
      </c>
      <c r="G13" s="9" t="s">
        <v>94</v>
      </c>
      <c r="H13" s="57" t="s">
        <v>95</v>
      </c>
      <c r="I13" s="62"/>
      <c r="J13" s="55" t="s">
        <v>96</v>
      </c>
      <c r="K13" s="57" t="s">
        <v>97</v>
      </c>
      <c r="L13" s="55" t="s">
        <v>98</v>
      </c>
      <c r="M13" s="56"/>
      <c r="N13" s="56"/>
      <c r="O13" s="62"/>
      <c r="P13" s="56"/>
      <c r="Q13" s="56"/>
      <c r="R13" s="62"/>
      <c r="S13" s="56" t="s">
        <v>99</v>
      </c>
    </row>
    <row r="14" spans="1:21" s="1" customFormat="1" ht="40" customHeight="1">
      <c r="A14" s="5">
        <v>9</v>
      </c>
      <c r="B14" s="6"/>
      <c r="C14" s="16" t="s">
        <v>100</v>
      </c>
      <c r="D14" s="8" t="s">
        <v>30</v>
      </c>
      <c r="E14" s="9" t="s">
        <v>101</v>
      </c>
      <c r="F14" s="10"/>
      <c r="G14" s="9" t="s">
        <v>94</v>
      </c>
      <c r="H14" s="61"/>
      <c r="I14" s="61"/>
      <c r="J14" s="61"/>
      <c r="K14" s="54" t="s">
        <v>102</v>
      </c>
      <c r="L14" s="61"/>
      <c r="M14" s="61"/>
      <c r="N14" s="61"/>
      <c r="O14" s="60" t="s">
        <v>103</v>
      </c>
      <c r="P14" s="61"/>
      <c r="Q14" s="60" t="s">
        <v>91</v>
      </c>
      <c r="R14" s="57" t="s">
        <v>104</v>
      </c>
      <c r="S14" s="61"/>
    </row>
    <row r="15" spans="1:21" s="1" customFormat="1" ht="40" customHeight="1">
      <c r="A15" s="5">
        <v>10</v>
      </c>
      <c r="B15" s="119" t="s">
        <v>105</v>
      </c>
      <c r="C15" s="7" t="s">
        <v>106</v>
      </c>
      <c r="D15" s="8" t="s">
        <v>30</v>
      </c>
      <c r="E15" s="9" t="s">
        <v>107</v>
      </c>
      <c r="F15" s="10" t="s">
        <v>67</v>
      </c>
      <c r="G15" s="9" t="s">
        <v>33</v>
      </c>
      <c r="H15" s="56"/>
      <c r="I15" s="55" t="s">
        <v>75</v>
      </c>
      <c r="J15" s="56"/>
      <c r="K15" s="56"/>
      <c r="L15" s="55" t="s">
        <v>108</v>
      </c>
      <c r="M15" s="55" t="s">
        <v>109</v>
      </c>
      <c r="N15" s="55" t="s">
        <v>110</v>
      </c>
      <c r="O15" s="55" t="s">
        <v>111</v>
      </c>
      <c r="P15" s="56"/>
      <c r="Q15" s="55" t="s">
        <v>112</v>
      </c>
      <c r="R15" s="57" t="s">
        <v>113</v>
      </c>
      <c r="S15" s="56"/>
      <c r="U15" s="42"/>
    </row>
    <row r="16" spans="1:21" s="1" customFormat="1" ht="51" customHeight="1">
      <c r="A16" s="5">
        <v>11</v>
      </c>
      <c r="B16" s="119"/>
      <c r="C16" s="7" t="s">
        <v>114</v>
      </c>
      <c r="D16" s="8" t="s">
        <v>30</v>
      </c>
      <c r="E16" s="9" t="s">
        <v>115</v>
      </c>
      <c r="F16" s="10" t="s">
        <v>116</v>
      </c>
      <c r="G16" s="9" t="s">
        <v>33</v>
      </c>
      <c r="H16" s="56"/>
      <c r="I16" s="55" t="s">
        <v>117</v>
      </c>
      <c r="J16" s="56"/>
      <c r="K16" s="56"/>
      <c r="L16" s="55" t="s">
        <v>108</v>
      </c>
      <c r="M16" s="55" t="s">
        <v>109</v>
      </c>
      <c r="N16" s="55" t="s">
        <v>53</v>
      </c>
      <c r="O16" s="56"/>
      <c r="P16" s="62"/>
      <c r="Q16" s="56"/>
      <c r="R16" s="57" t="s">
        <v>113</v>
      </c>
      <c r="S16" s="56"/>
    </row>
    <row r="17" spans="1:1024" s="1" customFormat="1" ht="40" customHeight="1">
      <c r="A17" s="5">
        <v>12</v>
      </c>
      <c r="B17" s="119"/>
      <c r="C17" s="7" t="s">
        <v>118</v>
      </c>
      <c r="D17" s="8" t="s">
        <v>30</v>
      </c>
      <c r="E17" s="9" t="s">
        <v>119</v>
      </c>
      <c r="F17" s="10" t="s">
        <v>120</v>
      </c>
      <c r="G17" s="9" t="s">
        <v>33</v>
      </c>
      <c r="H17" s="58" t="s">
        <v>121</v>
      </c>
      <c r="I17" s="55" t="s">
        <v>122</v>
      </c>
      <c r="J17" s="56"/>
      <c r="K17" s="55" t="s">
        <v>123</v>
      </c>
      <c r="L17" s="56"/>
      <c r="M17" s="56"/>
      <c r="N17" s="55" t="s">
        <v>124</v>
      </c>
      <c r="O17" s="56"/>
      <c r="P17" s="56"/>
      <c r="Q17" s="56"/>
      <c r="R17" s="56"/>
      <c r="S17" s="62"/>
    </row>
    <row r="18" spans="1:1024" s="1" customFormat="1" ht="52" customHeight="1">
      <c r="A18" s="5">
        <v>15</v>
      </c>
      <c r="B18" s="120" t="s">
        <v>125</v>
      </c>
      <c r="C18" s="7" t="s">
        <v>126</v>
      </c>
      <c r="D18" s="8" t="s">
        <v>30</v>
      </c>
      <c r="E18" s="9" t="s">
        <v>127</v>
      </c>
      <c r="F18" s="10" t="s">
        <v>83</v>
      </c>
      <c r="G18" s="9" t="s">
        <v>33</v>
      </c>
      <c r="H18" s="57" t="s">
        <v>128</v>
      </c>
      <c r="I18" s="62"/>
      <c r="J18" s="55" t="s">
        <v>129</v>
      </c>
      <c r="K18" s="57" t="s">
        <v>130</v>
      </c>
      <c r="L18" s="62"/>
      <c r="M18" s="56"/>
      <c r="N18" s="55" t="s">
        <v>131</v>
      </c>
      <c r="O18" s="55" t="s">
        <v>132</v>
      </c>
      <c r="P18" s="55" t="s">
        <v>133</v>
      </c>
      <c r="Q18" s="55" t="s">
        <v>134</v>
      </c>
      <c r="R18" s="55" t="s">
        <v>135</v>
      </c>
      <c r="S18" s="24" t="s">
        <v>136</v>
      </c>
      <c r="AMJ18"/>
    </row>
    <row r="19" spans="1:1024" s="1" customFormat="1" ht="40" customHeight="1">
      <c r="A19" s="5">
        <v>17</v>
      </c>
      <c r="B19" s="120"/>
      <c r="C19" s="7" t="s">
        <v>137</v>
      </c>
      <c r="D19" s="8" t="s">
        <v>30</v>
      </c>
      <c r="E19" s="9" t="s">
        <v>138</v>
      </c>
      <c r="F19" s="10" t="s">
        <v>139</v>
      </c>
      <c r="G19" s="9" t="s">
        <v>33</v>
      </c>
      <c r="H19" s="57" t="s">
        <v>140</v>
      </c>
      <c r="I19" s="62"/>
      <c r="J19" s="55" t="s">
        <v>141</v>
      </c>
      <c r="K19" s="62"/>
      <c r="L19" s="55" t="s">
        <v>142</v>
      </c>
      <c r="M19" s="56"/>
      <c r="N19" s="56"/>
      <c r="O19" s="55" t="s">
        <v>143</v>
      </c>
      <c r="P19" s="56"/>
      <c r="Q19" s="57" t="s">
        <v>144</v>
      </c>
      <c r="R19" s="62"/>
      <c r="S19" s="20" t="s">
        <v>145</v>
      </c>
    </row>
    <row r="20" spans="1:1024" s="1" customFormat="1" ht="40" customHeight="1">
      <c r="A20" s="5">
        <v>18</v>
      </c>
      <c r="B20" s="120"/>
      <c r="C20" s="7" t="s">
        <v>146</v>
      </c>
      <c r="D20" s="8" t="s">
        <v>30</v>
      </c>
      <c r="E20" s="9" t="s">
        <v>147</v>
      </c>
      <c r="F20" s="10" t="s">
        <v>116</v>
      </c>
      <c r="G20" s="9" t="s">
        <v>33</v>
      </c>
      <c r="H20" s="62"/>
      <c r="I20" s="55" t="s">
        <v>148</v>
      </c>
      <c r="J20" s="55" t="s">
        <v>149</v>
      </c>
      <c r="K20" s="56"/>
      <c r="L20" s="57" t="s">
        <v>150</v>
      </c>
      <c r="M20" s="56"/>
      <c r="N20" s="55" t="s">
        <v>151</v>
      </c>
      <c r="O20" s="56"/>
      <c r="P20" s="56"/>
      <c r="Q20" s="55" t="s">
        <v>152</v>
      </c>
      <c r="R20" s="55" t="s">
        <v>153</v>
      </c>
      <c r="S20" s="62" t="s">
        <v>154</v>
      </c>
    </row>
    <row r="21" spans="1:1024" s="1" customFormat="1" ht="40" customHeight="1">
      <c r="A21" s="5">
        <v>19</v>
      </c>
      <c r="B21" s="120"/>
      <c r="C21" s="7" t="s">
        <v>155</v>
      </c>
      <c r="D21" s="8" t="s">
        <v>30</v>
      </c>
      <c r="E21" s="9" t="s">
        <v>156</v>
      </c>
      <c r="F21" s="10" t="s">
        <v>157</v>
      </c>
      <c r="G21" s="9" t="s">
        <v>33</v>
      </c>
      <c r="H21" s="57" t="s">
        <v>140</v>
      </c>
      <c r="I21" s="62"/>
      <c r="J21" s="55" t="s">
        <v>158</v>
      </c>
      <c r="K21" s="55" t="s">
        <v>159</v>
      </c>
      <c r="L21" s="57" t="s">
        <v>160</v>
      </c>
      <c r="M21" s="57" t="s">
        <v>161</v>
      </c>
      <c r="N21" s="55" t="s">
        <v>162</v>
      </c>
      <c r="O21" s="56"/>
      <c r="P21" s="56"/>
      <c r="Q21" s="55" t="s">
        <v>134</v>
      </c>
      <c r="R21" s="56"/>
      <c r="S21" s="56" t="s">
        <v>163</v>
      </c>
    </row>
    <row r="22" spans="1:1024" s="1" customFormat="1" ht="40" customHeight="1">
      <c r="A22" s="5">
        <v>22</v>
      </c>
      <c r="B22" s="121" t="s">
        <v>164</v>
      </c>
      <c r="C22" s="7" t="s">
        <v>165</v>
      </c>
      <c r="D22" s="8" t="s">
        <v>30</v>
      </c>
      <c r="E22" s="9" t="s">
        <v>166</v>
      </c>
      <c r="F22" s="10" t="s">
        <v>67</v>
      </c>
      <c r="G22" s="9" t="s">
        <v>33</v>
      </c>
      <c r="H22" s="55" t="s">
        <v>167</v>
      </c>
      <c r="I22" s="55" t="s">
        <v>168</v>
      </c>
      <c r="J22" s="55" t="s">
        <v>141</v>
      </c>
      <c r="K22" s="56"/>
      <c r="L22" s="55" t="s">
        <v>169</v>
      </c>
      <c r="M22" s="55" t="s">
        <v>170</v>
      </c>
      <c r="N22" s="56"/>
      <c r="O22" s="55" t="s">
        <v>171</v>
      </c>
      <c r="P22" s="55" t="s">
        <v>172</v>
      </c>
      <c r="Q22" s="55" t="s">
        <v>173</v>
      </c>
      <c r="R22" s="57" t="s">
        <v>174</v>
      </c>
      <c r="S22" s="62" t="s">
        <v>175</v>
      </c>
    </row>
    <row r="23" spans="1:1024" s="1" customFormat="1" ht="40" customHeight="1">
      <c r="A23" s="5">
        <v>24</v>
      </c>
      <c r="B23" s="121"/>
      <c r="C23" s="7" t="s">
        <v>176</v>
      </c>
      <c r="D23" s="8" t="s">
        <v>30</v>
      </c>
      <c r="E23" s="9" t="s">
        <v>177</v>
      </c>
      <c r="F23" s="10" t="s">
        <v>120</v>
      </c>
      <c r="G23" s="9" t="s">
        <v>33</v>
      </c>
      <c r="H23" s="57" t="s">
        <v>178</v>
      </c>
      <c r="I23" s="56"/>
      <c r="J23" s="55" t="s">
        <v>179</v>
      </c>
      <c r="K23" s="55" t="s">
        <v>180</v>
      </c>
      <c r="L23" s="55" t="s">
        <v>181</v>
      </c>
      <c r="M23" s="56"/>
      <c r="N23" s="55" t="s">
        <v>182</v>
      </c>
      <c r="O23" s="55" t="s">
        <v>183</v>
      </c>
      <c r="P23" s="55" t="s">
        <v>184</v>
      </c>
      <c r="Q23" s="56"/>
      <c r="R23" s="55" t="s">
        <v>185</v>
      </c>
      <c r="S23" s="20" t="s">
        <v>145</v>
      </c>
    </row>
    <row r="24" spans="1:1024" s="1" customFormat="1" ht="40" customHeight="1">
      <c r="A24" s="5">
        <v>23</v>
      </c>
      <c r="B24" s="121"/>
      <c r="C24" s="7" t="s">
        <v>186</v>
      </c>
      <c r="D24" s="8" t="s">
        <v>30</v>
      </c>
      <c r="E24" s="9" t="s">
        <v>187</v>
      </c>
      <c r="F24" s="10" t="s">
        <v>120</v>
      </c>
      <c r="G24" s="9" t="s">
        <v>33</v>
      </c>
      <c r="H24" s="55" t="s">
        <v>95</v>
      </c>
      <c r="I24" s="62"/>
      <c r="J24" s="55" t="s">
        <v>188</v>
      </c>
      <c r="K24" s="62"/>
      <c r="L24" s="56"/>
      <c r="M24" s="56"/>
      <c r="N24" s="57" t="s">
        <v>131</v>
      </c>
      <c r="O24" s="57" t="s">
        <v>183</v>
      </c>
      <c r="P24" s="71"/>
      <c r="Q24" s="71"/>
      <c r="R24" s="72" t="s">
        <v>104</v>
      </c>
      <c r="S24" s="71"/>
    </row>
    <row r="25" spans="1:1024" s="1" customFormat="1" ht="50.15" customHeight="1">
      <c r="A25" s="5">
        <v>24</v>
      </c>
      <c r="B25" s="121"/>
      <c r="C25" s="7" t="s">
        <v>189</v>
      </c>
      <c r="D25" s="8" t="s">
        <v>30</v>
      </c>
      <c r="E25" s="9" t="s">
        <v>190</v>
      </c>
      <c r="F25" s="10" t="s">
        <v>83</v>
      </c>
      <c r="G25" s="9" t="s">
        <v>33</v>
      </c>
      <c r="H25" s="57" t="s">
        <v>95</v>
      </c>
      <c r="I25" s="62"/>
      <c r="J25" s="55" t="s">
        <v>179</v>
      </c>
      <c r="K25" s="56"/>
      <c r="L25" s="55" t="s">
        <v>169</v>
      </c>
      <c r="M25" s="55" t="s">
        <v>191</v>
      </c>
      <c r="N25" s="56"/>
      <c r="O25" s="56"/>
      <c r="P25" s="56"/>
      <c r="Q25" s="56"/>
      <c r="R25" s="56"/>
      <c r="S25" s="62" t="s">
        <v>154</v>
      </c>
      <c r="U25" s="42"/>
    </row>
    <row r="26" spans="1:1024" s="1" customFormat="1" ht="50.15" customHeight="1">
      <c r="A26" s="5">
        <v>25</v>
      </c>
      <c r="B26" s="121"/>
      <c r="C26" s="7" t="s">
        <v>192</v>
      </c>
      <c r="D26" s="8" t="s">
        <v>30</v>
      </c>
      <c r="E26" s="9" t="s">
        <v>193</v>
      </c>
      <c r="F26" s="10" t="s">
        <v>194</v>
      </c>
      <c r="G26" s="9" t="s">
        <v>195</v>
      </c>
      <c r="H26" s="55" t="s">
        <v>196</v>
      </c>
      <c r="I26" s="57" t="s">
        <v>117</v>
      </c>
      <c r="J26" s="56"/>
      <c r="K26" s="56"/>
      <c r="L26" s="55" t="s">
        <v>181</v>
      </c>
      <c r="M26" s="56"/>
      <c r="N26" s="56"/>
      <c r="O26" s="55" t="s">
        <v>171</v>
      </c>
      <c r="P26" s="56"/>
      <c r="Q26" s="55" t="s">
        <v>197</v>
      </c>
      <c r="R26" s="62"/>
      <c r="S26" s="62"/>
    </row>
    <row r="27" spans="1:1024" s="1" customFormat="1" ht="40" customHeight="1">
      <c r="A27" s="5">
        <v>26</v>
      </c>
      <c r="B27" s="121"/>
      <c r="C27" s="7" t="s">
        <v>198</v>
      </c>
      <c r="D27" s="8" t="s">
        <v>30</v>
      </c>
      <c r="E27" s="9" t="s">
        <v>199</v>
      </c>
      <c r="F27" s="10" t="s">
        <v>200</v>
      </c>
      <c r="G27" s="9" t="s">
        <v>195</v>
      </c>
      <c r="H27" s="55" t="s">
        <v>201</v>
      </c>
      <c r="I27" s="57" t="s">
        <v>202</v>
      </c>
      <c r="J27" s="55" t="s">
        <v>203</v>
      </c>
      <c r="K27" s="55" t="s">
        <v>204</v>
      </c>
      <c r="L27" s="55" t="s">
        <v>160</v>
      </c>
      <c r="M27" s="56"/>
      <c r="N27" s="56"/>
      <c r="O27" s="57" t="s">
        <v>205</v>
      </c>
      <c r="P27" s="57" t="s">
        <v>206</v>
      </c>
      <c r="Q27" s="56"/>
      <c r="R27" s="55" t="s">
        <v>174</v>
      </c>
      <c r="S27" s="62"/>
    </row>
    <row r="28" spans="1:1024" s="1" customFormat="1" ht="40" customHeight="1">
      <c r="A28" s="5">
        <v>27</v>
      </c>
      <c r="B28" s="121"/>
      <c r="C28" s="7" t="s">
        <v>207</v>
      </c>
      <c r="D28" s="8" t="s">
        <v>30</v>
      </c>
      <c r="E28" s="9" t="s">
        <v>208</v>
      </c>
      <c r="F28" s="10" t="s">
        <v>209</v>
      </c>
      <c r="G28" s="9" t="s">
        <v>195</v>
      </c>
      <c r="H28" s="62"/>
      <c r="I28" s="57" t="s">
        <v>201</v>
      </c>
      <c r="J28" s="56"/>
      <c r="K28" s="57" t="s">
        <v>159</v>
      </c>
      <c r="L28" s="57" t="s">
        <v>210</v>
      </c>
      <c r="M28" s="56"/>
      <c r="N28" s="55" t="s">
        <v>211</v>
      </c>
      <c r="O28" s="57" t="s">
        <v>143</v>
      </c>
      <c r="P28" s="55" t="s">
        <v>212</v>
      </c>
      <c r="Q28" s="56"/>
      <c r="R28" s="55" t="s">
        <v>213</v>
      </c>
      <c r="S28" s="56"/>
      <c r="AMG28"/>
      <c r="AMH28"/>
      <c r="AMI28"/>
      <c r="AMJ28"/>
    </row>
    <row r="29" spans="1:1024" s="1" customFormat="1" ht="40" customHeight="1">
      <c r="A29" s="5">
        <v>28</v>
      </c>
      <c r="B29" s="122" t="s">
        <v>214</v>
      </c>
      <c r="C29" s="7" t="s">
        <v>215</v>
      </c>
      <c r="D29" s="8" t="s">
        <v>30</v>
      </c>
      <c r="E29" s="9" t="s">
        <v>216</v>
      </c>
      <c r="F29" s="10" t="s">
        <v>116</v>
      </c>
      <c r="G29" s="9" t="s">
        <v>33</v>
      </c>
      <c r="H29" s="55" t="s">
        <v>84</v>
      </c>
      <c r="I29" s="62"/>
      <c r="J29" s="57" t="s">
        <v>158</v>
      </c>
      <c r="K29" s="55" t="s">
        <v>180</v>
      </c>
      <c r="L29" s="57" t="s">
        <v>98</v>
      </c>
      <c r="M29" s="56"/>
      <c r="N29" s="55" t="s">
        <v>217</v>
      </c>
      <c r="O29" s="56"/>
      <c r="P29" s="56"/>
      <c r="Q29" s="56"/>
      <c r="R29" s="55" t="s">
        <v>135</v>
      </c>
      <c r="S29" s="56"/>
    </row>
    <row r="30" spans="1:1024" s="1" customFormat="1" ht="40" customHeight="1">
      <c r="A30" s="5">
        <v>29</v>
      </c>
      <c r="B30" s="122"/>
      <c r="C30" s="7" t="s">
        <v>218</v>
      </c>
      <c r="D30" s="8" t="s">
        <v>30</v>
      </c>
      <c r="E30" s="9" t="s">
        <v>219</v>
      </c>
      <c r="F30" s="10" t="s">
        <v>120</v>
      </c>
      <c r="G30" s="9" t="s">
        <v>33</v>
      </c>
      <c r="H30" s="57" t="s">
        <v>52</v>
      </c>
      <c r="I30" s="57" t="s">
        <v>220</v>
      </c>
      <c r="J30" s="55" t="s">
        <v>221</v>
      </c>
      <c r="K30" s="55" t="s">
        <v>222</v>
      </c>
      <c r="L30" s="55" t="s">
        <v>223</v>
      </c>
      <c r="M30" s="55" t="s">
        <v>224</v>
      </c>
      <c r="N30" s="55" t="s">
        <v>124</v>
      </c>
      <c r="O30" s="56"/>
      <c r="P30" s="55" t="s">
        <v>78</v>
      </c>
      <c r="Q30" s="55" t="s">
        <v>225</v>
      </c>
      <c r="R30" s="62"/>
      <c r="S30" s="56" t="s">
        <v>226</v>
      </c>
    </row>
    <row r="31" spans="1:1024" s="1" customFormat="1" ht="40" customHeight="1">
      <c r="A31" s="5">
        <v>30</v>
      </c>
      <c r="B31" s="122"/>
      <c r="C31" s="7" t="s">
        <v>227</v>
      </c>
      <c r="D31" s="8" t="s">
        <v>30</v>
      </c>
      <c r="E31" s="9" t="s">
        <v>228</v>
      </c>
      <c r="F31" s="10" t="s">
        <v>120</v>
      </c>
      <c r="G31" s="9" t="s">
        <v>33</v>
      </c>
      <c r="H31" s="57" t="s">
        <v>229</v>
      </c>
      <c r="I31" s="62"/>
      <c r="J31" s="55" t="s">
        <v>230</v>
      </c>
      <c r="K31" s="62"/>
      <c r="L31" s="55" t="s">
        <v>150</v>
      </c>
      <c r="M31" s="55" t="s">
        <v>231</v>
      </c>
      <c r="N31" s="56"/>
      <c r="O31" s="57" t="s">
        <v>232</v>
      </c>
      <c r="P31" s="62"/>
      <c r="Q31" s="62"/>
      <c r="R31" s="62"/>
      <c r="S31" s="56" t="s">
        <v>226</v>
      </c>
    </row>
    <row r="32" spans="1:1024" s="1" customFormat="1" ht="40" customHeight="1">
      <c r="A32" s="5">
        <v>31</v>
      </c>
      <c r="B32" s="122"/>
      <c r="C32" s="7" t="s">
        <v>233</v>
      </c>
      <c r="D32" s="8" t="s">
        <v>30</v>
      </c>
      <c r="E32" s="9" t="s">
        <v>234</v>
      </c>
      <c r="F32" s="10" t="s">
        <v>116</v>
      </c>
      <c r="G32" s="9" t="s">
        <v>33</v>
      </c>
      <c r="H32" s="57" t="s">
        <v>229</v>
      </c>
      <c r="I32" s="56"/>
      <c r="J32" s="55" t="s">
        <v>230</v>
      </c>
      <c r="K32" s="62"/>
      <c r="L32" s="55" t="s">
        <v>98</v>
      </c>
      <c r="M32" s="56"/>
      <c r="N32" s="55" t="s">
        <v>151</v>
      </c>
      <c r="O32" s="57" t="s">
        <v>235</v>
      </c>
      <c r="P32" s="62"/>
      <c r="Q32" s="57" t="s">
        <v>236</v>
      </c>
      <c r="R32" s="57" t="s">
        <v>237</v>
      </c>
      <c r="S32" s="56"/>
    </row>
    <row r="33" spans="1:21" s="1" customFormat="1" ht="40" customHeight="1">
      <c r="A33" s="5">
        <v>32</v>
      </c>
      <c r="B33" s="122"/>
      <c r="C33" s="7" t="s">
        <v>238</v>
      </c>
      <c r="D33" s="8" t="s">
        <v>30</v>
      </c>
      <c r="E33" s="9" t="s">
        <v>239</v>
      </c>
      <c r="F33" s="10" t="s">
        <v>240</v>
      </c>
      <c r="G33" s="9" t="s">
        <v>33</v>
      </c>
      <c r="H33" s="57" t="s">
        <v>196</v>
      </c>
      <c r="I33" s="57" t="s">
        <v>148</v>
      </c>
      <c r="J33" s="62"/>
      <c r="K33" s="57" t="s">
        <v>241</v>
      </c>
      <c r="L33" s="56"/>
      <c r="M33" s="62"/>
      <c r="N33" s="56"/>
      <c r="O33" s="62"/>
      <c r="P33" s="55" t="s">
        <v>242</v>
      </c>
      <c r="Q33" s="62"/>
      <c r="R33" s="62"/>
      <c r="S33" s="56" t="s">
        <v>243</v>
      </c>
    </row>
    <row r="34" spans="1:21" s="1" customFormat="1" ht="40" customHeight="1">
      <c r="A34" s="5">
        <v>33</v>
      </c>
      <c r="B34" s="122"/>
      <c r="C34" s="7" t="s">
        <v>244</v>
      </c>
      <c r="D34" s="8" t="s">
        <v>30</v>
      </c>
      <c r="E34" s="9" t="s">
        <v>245</v>
      </c>
      <c r="F34" s="10" t="s">
        <v>83</v>
      </c>
      <c r="G34" s="9" t="s">
        <v>33</v>
      </c>
      <c r="H34" s="57" t="s">
        <v>229</v>
      </c>
      <c r="I34" s="56"/>
      <c r="J34" s="55" t="s">
        <v>129</v>
      </c>
      <c r="K34" s="56"/>
      <c r="L34" s="57" t="s">
        <v>246</v>
      </c>
      <c r="M34" s="62"/>
      <c r="N34" s="55" t="s">
        <v>247</v>
      </c>
      <c r="O34" s="62"/>
      <c r="P34" s="56"/>
      <c r="Q34" s="56"/>
      <c r="R34" s="55" t="s">
        <v>185</v>
      </c>
      <c r="S34" s="56"/>
    </row>
    <row r="35" spans="1:21" s="1" customFormat="1" ht="40" customHeight="1">
      <c r="A35" s="5">
        <v>34</v>
      </c>
      <c r="B35" s="122"/>
      <c r="C35" s="7" t="s">
        <v>248</v>
      </c>
      <c r="D35" s="8" t="s">
        <v>30</v>
      </c>
      <c r="E35" s="9" t="s">
        <v>249</v>
      </c>
      <c r="F35" s="10" t="s">
        <v>250</v>
      </c>
      <c r="G35" s="9" t="s">
        <v>33</v>
      </c>
      <c r="H35" s="57" t="s">
        <v>251</v>
      </c>
      <c r="I35" s="62"/>
      <c r="J35" s="56"/>
      <c r="K35" s="57" t="s">
        <v>252</v>
      </c>
      <c r="L35" s="55" t="s">
        <v>253</v>
      </c>
      <c r="M35" s="57" t="s">
        <v>254</v>
      </c>
      <c r="N35" s="56"/>
      <c r="O35" s="62"/>
      <c r="P35" s="62"/>
      <c r="Q35" s="62"/>
      <c r="R35" s="62"/>
      <c r="S35" s="56"/>
      <c r="U35" s="42"/>
    </row>
    <row r="36" spans="1:21" s="1" customFormat="1" ht="40" customHeight="1">
      <c r="A36" s="5">
        <v>35</v>
      </c>
      <c r="B36" s="117" t="s">
        <v>255</v>
      </c>
      <c r="C36" s="7" t="s">
        <v>256</v>
      </c>
      <c r="D36" s="8" t="s">
        <v>30</v>
      </c>
      <c r="E36" s="9" t="s">
        <v>257</v>
      </c>
      <c r="F36" s="10" t="s">
        <v>258</v>
      </c>
      <c r="G36" s="9" t="s">
        <v>33</v>
      </c>
      <c r="H36" s="57" t="s">
        <v>259</v>
      </c>
      <c r="I36" s="57" t="s">
        <v>260</v>
      </c>
      <c r="J36" s="62"/>
      <c r="K36" s="62"/>
      <c r="L36" s="57" t="s">
        <v>261</v>
      </c>
      <c r="M36" s="56"/>
      <c r="N36" s="56"/>
      <c r="O36" s="55" t="s">
        <v>262</v>
      </c>
      <c r="P36" s="62"/>
      <c r="Q36" s="62"/>
      <c r="R36" s="62"/>
      <c r="S36" s="56" t="s">
        <v>263</v>
      </c>
    </row>
    <row r="37" spans="1:21" s="1" customFormat="1" ht="40" customHeight="1">
      <c r="A37" s="5">
        <v>37</v>
      </c>
      <c r="B37" s="117"/>
      <c r="C37" s="7" t="s">
        <v>264</v>
      </c>
      <c r="D37" s="8" t="s">
        <v>30</v>
      </c>
      <c r="E37" s="9" t="s">
        <v>265</v>
      </c>
      <c r="F37" s="10" t="s">
        <v>240</v>
      </c>
      <c r="G37" s="9" t="s">
        <v>33</v>
      </c>
      <c r="H37" s="62"/>
      <c r="I37" s="57" t="s">
        <v>266</v>
      </c>
      <c r="J37" s="62"/>
      <c r="K37" s="56"/>
      <c r="L37" s="56"/>
      <c r="M37" s="62"/>
      <c r="N37" s="55" t="s">
        <v>131</v>
      </c>
      <c r="O37" s="62"/>
      <c r="P37" s="56"/>
      <c r="Q37" s="57" t="s">
        <v>267</v>
      </c>
      <c r="R37" s="62"/>
      <c r="S37" s="62"/>
    </row>
    <row r="38" spans="1:21" s="1" customFormat="1" ht="40" customHeight="1">
      <c r="A38" s="5">
        <v>38</v>
      </c>
      <c r="B38" s="117"/>
      <c r="C38" s="7" t="s">
        <v>268</v>
      </c>
      <c r="D38" s="8" t="s">
        <v>30</v>
      </c>
      <c r="E38" s="9" t="s">
        <v>269</v>
      </c>
      <c r="F38" s="10" t="s">
        <v>270</v>
      </c>
      <c r="G38" s="9" t="s">
        <v>33</v>
      </c>
      <c r="H38" s="62"/>
      <c r="I38" s="57" t="s">
        <v>271</v>
      </c>
      <c r="J38" s="62"/>
      <c r="K38" s="56"/>
      <c r="L38" s="56"/>
      <c r="M38" s="56"/>
      <c r="N38" s="62"/>
      <c r="O38" s="55" t="s">
        <v>89</v>
      </c>
      <c r="P38" s="56"/>
      <c r="Q38" s="56"/>
      <c r="R38" s="62"/>
      <c r="S38" s="62"/>
    </row>
    <row r="39" spans="1:21" s="1" customFormat="1" ht="40" customHeight="1">
      <c r="A39" s="5">
        <v>39</v>
      </c>
      <c r="B39" s="117" t="s">
        <v>272</v>
      </c>
      <c r="C39" s="7" t="s">
        <v>273</v>
      </c>
      <c r="D39" s="8" t="s">
        <v>30</v>
      </c>
      <c r="E39" s="9" t="s">
        <v>274</v>
      </c>
      <c r="F39" s="10" t="s">
        <v>67</v>
      </c>
      <c r="G39" s="9" t="s">
        <v>33</v>
      </c>
      <c r="H39" s="62"/>
      <c r="I39" s="62"/>
      <c r="J39" s="57" t="s">
        <v>85</v>
      </c>
      <c r="K39" s="62"/>
      <c r="L39" s="56"/>
      <c r="M39" s="62"/>
      <c r="N39" s="55" t="s">
        <v>275</v>
      </c>
      <c r="O39" s="62"/>
      <c r="P39" s="56"/>
      <c r="Q39" s="56"/>
      <c r="R39" s="62"/>
      <c r="S39" s="62"/>
    </row>
    <row r="40" spans="1:21" s="1" customFormat="1" ht="40" customHeight="1">
      <c r="A40" s="5">
        <v>40</v>
      </c>
      <c r="B40" s="117"/>
      <c r="C40" s="7" t="s">
        <v>276</v>
      </c>
      <c r="D40" s="8" t="s">
        <v>30</v>
      </c>
      <c r="E40" s="9" t="s">
        <v>277</v>
      </c>
      <c r="F40" s="10" t="s">
        <v>67</v>
      </c>
      <c r="G40" s="9" t="s">
        <v>33</v>
      </c>
      <c r="H40" s="55" t="s">
        <v>278</v>
      </c>
      <c r="I40" s="55" t="s">
        <v>279</v>
      </c>
      <c r="J40" s="62"/>
      <c r="K40" s="62"/>
      <c r="L40" s="55" t="s">
        <v>223</v>
      </c>
      <c r="M40" s="56"/>
      <c r="N40" s="62"/>
      <c r="O40" s="56"/>
      <c r="P40" s="62"/>
      <c r="Q40" s="55" t="s">
        <v>91</v>
      </c>
      <c r="R40" s="56"/>
      <c r="S40" s="56"/>
    </row>
    <row r="41" spans="1:21" s="1" customFormat="1" ht="40" customHeight="1">
      <c r="A41" s="5">
        <v>41</v>
      </c>
      <c r="B41" s="117"/>
      <c r="C41" s="7" t="s">
        <v>280</v>
      </c>
      <c r="D41" s="8" t="s">
        <v>30</v>
      </c>
      <c r="E41" s="9" t="s">
        <v>281</v>
      </c>
      <c r="F41" s="10" t="s">
        <v>282</v>
      </c>
      <c r="G41" s="9" t="s">
        <v>33</v>
      </c>
      <c r="H41" s="57" t="s">
        <v>251</v>
      </c>
      <c r="I41" s="56"/>
      <c r="J41" s="57" t="s">
        <v>283</v>
      </c>
      <c r="K41" s="62"/>
      <c r="L41" s="55" t="s">
        <v>284</v>
      </c>
      <c r="M41" s="62"/>
      <c r="N41" s="55" t="s">
        <v>217</v>
      </c>
      <c r="O41" s="56"/>
      <c r="P41" s="56"/>
      <c r="Q41" s="55" t="s">
        <v>285</v>
      </c>
      <c r="R41" s="56"/>
      <c r="S41" s="56"/>
    </row>
    <row r="42" spans="1:21" s="1" customFormat="1" ht="40" customHeight="1">
      <c r="A42" s="5">
        <v>42</v>
      </c>
      <c r="B42" s="117"/>
      <c r="C42" s="7" t="s">
        <v>286</v>
      </c>
      <c r="D42" s="8" t="s">
        <v>30</v>
      </c>
      <c r="E42" s="9" t="s">
        <v>287</v>
      </c>
      <c r="F42" s="10"/>
      <c r="G42" s="9" t="s">
        <v>94</v>
      </c>
      <c r="H42" s="63"/>
      <c r="I42" s="64"/>
      <c r="J42" s="64"/>
      <c r="K42" s="63"/>
      <c r="L42" s="65" t="s">
        <v>253</v>
      </c>
      <c r="M42" s="63"/>
      <c r="N42" s="64"/>
      <c r="O42" s="64"/>
      <c r="P42" s="64"/>
      <c r="Q42" s="64"/>
      <c r="R42" s="64"/>
      <c r="S42" s="64"/>
    </row>
    <row r="43" spans="1:21" s="1" customFormat="1" ht="40" customHeight="1">
      <c r="A43" s="5">
        <v>44</v>
      </c>
      <c r="B43" s="117" t="s">
        <v>288</v>
      </c>
      <c r="C43" s="7" t="s">
        <v>289</v>
      </c>
      <c r="D43" s="8" t="s">
        <v>30</v>
      </c>
      <c r="E43" s="9" t="s">
        <v>257</v>
      </c>
      <c r="F43" s="10" t="s">
        <v>290</v>
      </c>
      <c r="G43" s="9" t="s">
        <v>195</v>
      </c>
      <c r="H43" s="62"/>
      <c r="I43" s="56"/>
      <c r="J43" s="57" t="s">
        <v>203</v>
      </c>
      <c r="K43" s="62"/>
      <c r="L43" s="56"/>
      <c r="M43" s="62"/>
      <c r="N43" s="56"/>
      <c r="O43" s="56"/>
      <c r="P43" s="56"/>
      <c r="Q43" s="55" t="s">
        <v>225</v>
      </c>
      <c r="R43" s="56"/>
      <c r="S43" s="56" t="s">
        <v>163</v>
      </c>
    </row>
    <row r="44" spans="1:21" s="1" customFormat="1" ht="40" customHeight="1">
      <c r="A44" s="5">
        <v>45</v>
      </c>
      <c r="B44" s="117"/>
      <c r="C44" s="7" t="s">
        <v>291</v>
      </c>
      <c r="D44" s="8" t="s">
        <v>30</v>
      </c>
      <c r="E44" s="9" t="s">
        <v>292</v>
      </c>
      <c r="F44" s="10" t="s">
        <v>139</v>
      </c>
      <c r="G44" s="9" t="s">
        <v>33</v>
      </c>
      <c r="H44" s="57" t="s">
        <v>259</v>
      </c>
      <c r="I44" s="56"/>
      <c r="J44" s="57" t="s">
        <v>293</v>
      </c>
      <c r="K44" s="62"/>
      <c r="L44" s="55" t="s">
        <v>37</v>
      </c>
      <c r="M44" s="62"/>
      <c r="N44" s="55" t="s">
        <v>110</v>
      </c>
      <c r="O44" s="56"/>
      <c r="P44" s="55" t="s">
        <v>294</v>
      </c>
      <c r="Q44" s="56"/>
      <c r="R44" s="56"/>
      <c r="S44" s="56"/>
    </row>
    <row r="45" spans="1:21" s="1" customFormat="1" ht="40" customHeight="1">
      <c r="A45" s="5">
        <v>46</v>
      </c>
      <c r="B45" s="117"/>
      <c r="C45" s="16" t="s">
        <v>295</v>
      </c>
      <c r="D45" s="8" t="s">
        <v>30</v>
      </c>
      <c r="E45" s="9" t="s">
        <v>265</v>
      </c>
      <c r="F45" s="10" t="s">
        <v>93</v>
      </c>
      <c r="G45" s="9" t="s">
        <v>195</v>
      </c>
      <c r="H45" s="61"/>
      <c r="I45" s="60" t="s">
        <v>296</v>
      </c>
      <c r="J45" s="60" t="s">
        <v>297</v>
      </c>
      <c r="K45" s="60" t="s">
        <v>298</v>
      </c>
      <c r="L45" s="60" t="s">
        <v>223</v>
      </c>
      <c r="M45" s="60" t="s">
        <v>109</v>
      </c>
      <c r="N45" s="61"/>
      <c r="O45" s="61"/>
      <c r="P45" s="61"/>
      <c r="Q45" s="61"/>
      <c r="R45" s="61"/>
      <c r="S45" s="61"/>
    </row>
    <row r="46" spans="1:21" s="1" customFormat="1" ht="40" customHeight="1">
      <c r="A46" s="5">
        <v>47</v>
      </c>
      <c r="B46" s="22"/>
      <c r="C46" s="7" t="s">
        <v>299</v>
      </c>
      <c r="D46" s="8"/>
      <c r="E46" s="9" t="s">
        <v>257</v>
      </c>
      <c r="F46" s="10"/>
      <c r="G46" s="9"/>
      <c r="H46" s="61"/>
      <c r="I46" s="61"/>
      <c r="J46" s="60" t="s">
        <v>300</v>
      </c>
      <c r="K46" s="61"/>
      <c r="L46" s="61"/>
      <c r="M46" s="60" t="s">
        <v>301</v>
      </c>
      <c r="N46" s="61"/>
      <c r="O46" s="60" t="s">
        <v>302</v>
      </c>
      <c r="P46" s="61"/>
      <c r="Q46" s="60" t="s">
        <v>303</v>
      </c>
      <c r="R46" s="60" t="s">
        <v>304</v>
      </c>
      <c r="S46" s="61"/>
    </row>
    <row r="47" spans="1:21" s="1" customFormat="1" ht="40" customHeight="1">
      <c r="A47" s="5">
        <v>48</v>
      </c>
      <c r="B47" s="22" t="s">
        <v>305</v>
      </c>
      <c r="C47" s="7" t="s">
        <v>306</v>
      </c>
      <c r="D47" s="8" t="s">
        <v>30</v>
      </c>
      <c r="E47" s="9" t="s">
        <v>292</v>
      </c>
      <c r="F47" s="10" t="s">
        <v>307</v>
      </c>
      <c r="G47" s="9" t="s">
        <v>195</v>
      </c>
      <c r="H47" s="61"/>
      <c r="I47" s="60" t="s">
        <v>75</v>
      </c>
      <c r="J47" s="61"/>
      <c r="K47" s="61"/>
      <c r="L47" s="60" t="s">
        <v>223</v>
      </c>
      <c r="M47" s="61"/>
      <c r="N47" s="61"/>
      <c r="O47" s="60" t="s">
        <v>132</v>
      </c>
      <c r="P47" s="61"/>
      <c r="Q47" s="60" t="s">
        <v>152</v>
      </c>
      <c r="R47" s="61"/>
      <c r="S47" s="61"/>
    </row>
    <row r="48" spans="1:21" s="1" customFormat="1" ht="40" customHeight="1">
      <c r="A48" s="5">
        <v>49</v>
      </c>
      <c r="B48" s="22"/>
      <c r="C48" s="16" t="s">
        <v>308</v>
      </c>
      <c r="D48" s="8" t="s">
        <v>30</v>
      </c>
      <c r="E48" s="9" t="s">
        <v>265</v>
      </c>
      <c r="F48" s="10" t="s">
        <v>139</v>
      </c>
      <c r="G48" s="9" t="s">
        <v>33</v>
      </c>
      <c r="H48" s="61"/>
      <c r="I48" s="61"/>
      <c r="J48" s="61"/>
      <c r="K48" s="61"/>
      <c r="L48" s="61"/>
      <c r="M48" s="61"/>
      <c r="N48" s="55" t="s">
        <v>217</v>
      </c>
      <c r="O48" s="61"/>
      <c r="P48" s="61"/>
      <c r="Q48" s="60" t="s">
        <v>309</v>
      </c>
      <c r="R48" s="61"/>
      <c r="S48" s="61"/>
    </row>
    <row r="49" spans="1:19" s="1" customFormat="1" ht="40" customHeight="1">
      <c r="A49" s="5">
        <v>50</v>
      </c>
      <c r="B49" s="22"/>
      <c r="C49" s="16" t="s">
        <v>310</v>
      </c>
      <c r="D49" s="8" t="s">
        <v>30</v>
      </c>
      <c r="E49" s="9" t="s">
        <v>269</v>
      </c>
      <c r="F49" s="10" t="s">
        <v>139</v>
      </c>
      <c r="G49" s="9" t="s">
        <v>33</v>
      </c>
      <c r="H49" s="61"/>
      <c r="I49" s="60" t="s">
        <v>296</v>
      </c>
      <c r="J49" s="61"/>
      <c r="K49" s="60" t="s">
        <v>311</v>
      </c>
      <c r="L49" s="60" t="s">
        <v>312</v>
      </c>
      <c r="M49" s="60" t="s">
        <v>313</v>
      </c>
      <c r="N49" s="61"/>
      <c r="O49" s="61"/>
      <c r="P49" s="61"/>
      <c r="Q49" s="61"/>
      <c r="R49" s="61"/>
      <c r="S49" s="61"/>
    </row>
    <row r="50" spans="1:19" s="1" customFormat="1" ht="40" customHeight="1">
      <c r="A50" s="5">
        <v>51</v>
      </c>
      <c r="B50" s="73"/>
      <c r="C50" s="7" t="s">
        <v>314</v>
      </c>
      <c r="D50" s="8" t="s">
        <v>30</v>
      </c>
      <c r="E50" s="9" t="s">
        <v>315</v>
      </c>
      <c r="F50" s="10" t="s">
        <v>139</v>
      </c>
      <c r="G50" s="9" t="s">
        <v>195</v>
      </c>
      <c r="H50" s="61"/>
      <c r="I50" s="60" t="s">
        <v>316</v>
      </c>
      <c r="J50" s="61"/>
      <c r="K50" s="60" t="s">
        <v>311</v>
      </c>
      <c r="L50" s="61"/>
      <c r="M50" s="61"/>
      <c r="N50" s="61"/>
      <c r="O50" s="61"/>
      <c r="P50" s="61"/>
      <c r="Q50" s="61"/>
      <c r="R50" s="61"/>
      <c r="S50" s="61"/>
    </row>
    <row r="51" spans="1:19" s="1" customFormat="1" ht="40" customHeight="1">
      <c r="A51" s="5">
        <v>52</v>
      </c>
      <c r="B51" s="73"/>
      <c r="C51" s="7" t="s">
        <v>317</v>
      </c>
      <c r="D51" s="8" t="s">
        <v>30</v>
      </c>
      <c r="E51" s="9" t="s">
        <v>318</v>
      </c>
      <c r="F51" s="10"/>
      <c r="G51" s="9" t="s">
        <v>33</v>
      </c>
      <c r="H51" s="61"/>
      <c r="I51" s="61"/>
      <c r="J51" s="60" t="s">
        <v>203</v>
      </c>
      <c r="K51" s="61"/>
      <c r="L51" s="60" t="s">
        <v>319</v>
      </c>
      <c r="M51" s="60" t="s">
        <v>301</v>
      </c>
      <c r="N51" s="61"/>
      <c r="O51" s="61"/>
      <c r="P51" s="61"/>
      <c r="Q51" s="61"/>
      <c r="R51" s="61"/>
      <c r="S51" s="61"/>
    </row>
    <row r="52" spans="1:19" s="1" customFormat="1" ht="52" customHeight="1">
      <c r="A52" s="5">
        <v>54</v>
      </c>
      <c r="B52" s="73"/>
      <c r="C52" s="7" t="s">
        <v>320</v>
      </c>
      <c r="D52" s="8" t="s">
        <v>30</v>
      </c>
      <c r="E52" s="9" t="s">
        <v>321</v>
      </c>
      <c r="F52" s="10" t="s">
        <v>322</v>
      </c>
      <c r="G52" s="9" t="s">
        <v>33</v>
      </c>
      <c r="H52" s="61"/>
      <c r="I52" s="61"/>
      <c r="J52" s="61"/>
      <c r="K52" s="61"/>
      <c r="L52" s="60" t="s">
        <v>108</v>
      </c>
      <c r="M52" s="61"/>
      <c r="N52" s="61"/>
      <c r="O52" s="60" t="s">
        <v>323</v>
      </c>
      <c r="P52" s="61"/>
      <c r="Q52" s="60" t="s">
        <v>324</v>
      </c>
      <c r="R52" s="60" t="s">
        <v>135</v>
      </c>
      <c r="S52" s="61"/>
    </row>
    <row r="53" spans="1:19" s="1" customFormat="1" ht="52" customHeight="1">
      <c r="A53" s="5">
        <v>55</v>
      </c>
      <c r="B53" s="73"/>
      <c r="C53" s="7" t="s">
        <v>325</v>
      </c>
      <c r="D53" s="8" t="s">
        <v>30</v>
      </c>
      <c r="E53" s="9" t="s">
        <v>326</v>
      </c>
      <c r="F53" s="10" t="s">
        <v>139</v>
      </c>
      <c r="G53" s="9" t="s">
        <v>33</v>
      </c>
      <c r="H53" s="61"/>
      <c r="I53" s="61"/>
      <c r="J53" s="61"/>
      <c r="K53" s="61"/>
      <c r="L53" s="60" t="s">
        <v>108</v>
      </c>
      <c r="M53" s="61"/>
      <c r="N53" s="61"/>
      <c r="O53" s="60" t="s">
        <v>262</v>
      </c>
      <c r="P53" s="61"/>
      <c r="Q53" s="60" t="s">
        <v>324</v>
      </c>
      <c r="R53" s="60" t="s">
        <v>135</v>
      </c>
      <c r="S53" s="61"/>
    </row>
    <row r="54" spans="1:19" s="1" customFormat="1" ht="40" customHeight="1">
      <c r="A54" s="5">
        <v>56</v>
      </c>
      <c r="B54" s="73"/>
      <c r="C54" s="7" t="s">
        <v>327</v>
      </c>
      <c r="D54" s="8" t="s">
        <v>30</v>
      </c>
      <c r="E54" s="9" t="s">
        <v>328</v>
      </c>
      <c r="F54" s="10" t="s">
        <v>322</v>
      </c>
      <c r="G54" s="9" t="s">
        <v>33</v>
      </c>
      <c r="H54" s="61"/>
      <c r="I54" s="60" t="s">
        <v>329</v>
      </c>
      <c r="J54" s="60" t="s">
        <v>102</v>
      </c>
      <c r="K54" s="60" t="s">
        <v>108</v>
      </c>
      <c r="L54" s="61"/>
      <c r="M54" s="61"/>
      <c r="N54" s="61"/>
      <c r="O54" s="60" t="s">
        <v>262</v>
      </c>
      <c r="P54" s="61"/>
      <c r="Q54" s="60" t="s">
        <v>324</v>
      </c>
      <c r="R54" s="61"/>
      <c r="S54" s="61"/>
    </row>
    <row r="55" spans="1:19" s="1" customFormat="1" ht="40" customHeight="1">
      <c r="A55" s="5">
        <v>57</v>
      </c>
      <c r="B55" s="73"/>
      <c r="C55" s="7" t="s">
        <v>330</v>
      </c>
      <c r="D55" s="8" t="s">
        <v>30</v>
      </c>
      <c r="E55" s="9" t="s">
        <v>331</v>
      </c>
      <c r="F55" s="10" t="s">
        <v>322</v>
      </c>
      <c r="G55" s="9" t="s">
        <v>33</v>
      </c>
      <c r="H55" s="55" t="s">
        <v>34</v>
      </c>
      <c r="I55" s="55" t="s">
        <v>35</v>
      </c>
      <c r="J55" s="56"/>
      <c r="K55" s="55" t="s">
        <v>36</v>
      </c>
      <c r="L55" s="55" t="s">
        <v>37</v>
      </c>
      <c r="M55" s="57" t="s">
        <v>38</v>
      </c>
      <c r="N55" s="56"/>
      <c r="O55" s="55" t="s">
        <v>39</v>
      </c>
      <c r="P55" s="55" t="s">
        <v>40</v>
      </c>
      <c r="Q55" s="55" t="s">
        <v>41</v>
      </c>
      <c r="R55" s="62"/>
      <c r="S55" s="44"/>
    </row>
    <row r="56" spans="1:19" s="1" customFormat="1" ht="39" customHeight="1">
      <c r="A56" s="125" t="s">
        <v>332</v>
      </c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</row>
    <row r="57" spans="1:19" s="1" customFormat="1" ht="36" customHeight="1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</row>
    <row r="58" spans="1:19" s="1" customFormat="1" ht="57" customHeight="1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</row>
    <row r="59" spans="1:19" ht="10.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</row>
    <row r="60" spans="1:19" ht="10.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</row>
    <row r="61" spans="1:19" ht="10.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</row>
    <row r="62" spans="1:19" ht="10.5" customHeight="1">
      <c r="A62" s="115" t="s">
        <v>333</v>
      </c>
      <c r="B62" s="115"/>
      <c r="C62" s="123" t="s">
        <v>334</v>
      </c>
      <c r="D62" s="123"/>
      <c r="E62" s="123"/>
      <c r="F62" s="123"/>
      <c r="G62" s="123"/>
      <c r="H62" s="115"/>
      <c r="I62" s="115"/>
      <c r="J62" s="115"/>
      <c r="K62" s="115"/>
      <c r="L62" s="115"/>
      <c r="M62" s="124" t="s">
        <v>335</v>
      </c>
      <c r="N62" s="124"/>
      <c r="O62" s="124"/>
      <c r="P62" s="124"/>
      <c r="Q62" s="124"/>
      <c r="R62" s="124"/>
      <c r="S62" s="124"/>
    </row>
    <row r="63" spans="1:19" ht="10.5" customHeight="1">
      <c r="A63" s="115"/>
      <c r="B63" s="115"/>
      <c r="C63" s="123"/>
      <c r="D63" s="123"/>
      <c r="E63" s="123"/>
      <c r="F63" s="123"/>
      <c r="G63" s="123"/>
      <c r="H63" s="115"/>
      <c r="I63" s="115"/>
      <c r="J63" s="115"/>
      <c r="K63" s="115"/>
      <c r="L63" s="115"/>
      <c r="M63" s="124"/>
      <c r="N63" s="124"/>
      <c r="O63" s="124"/>
      <c r="P63" s="124"/>
      <c r="Q63" s="124"/>
      <c r="R63" s="124"/>
      <c r="S63" s="124"/>
    </row>
  </sheetData>
  <mergeCells count="26">
    <mergeCell ref="A62:B63"/>
    <mergeCell ref="C62:G63"/>
    <mergeCell ref="H62:L63"/>
    <mergeCell ref="M62:S63"/>
    <mergeCell ref="A56:S58"/>
    <mergeCell ref="A59:S61"/>
    <mergeCell ref="B36:B38"/>
    <mergeCell ref="B39:B42"/>
    <mergeCell ref="B43:B45"/>
    <mergeCell ref="C4:C5"/>
    <mergeCell ref="D4:D5"/>
    <mergeCell ref="B6:B13"/>
    <mergeCell ref="B15:B17"/>
    <mergeCell ref="B18:B21"/>
    <mergeCell ref="B22:B28"/>
    <mergeCell ref="B29:B35"/>
    <mergeCell ref="R1:S1"/>
    <mergeCell ref="R2:S2"/>
    <mergeCell ref="R3:S3"/>
    <mergeCell ref="H4:S4"/>
    <mergeCell ref="A4:A5"/>
    <mergeCell ref="B4:B5"/>
    <mergeCell ref="E4:E5"/>
    <mergeCell ref="F4:F5"/>
    <mergeCell ref="G4:G5"/>
    <mergeCell ref="A1:P3"/>
  </mergeCells>
  <pageMargins left="0.78749999999999998" right="0.78749999999999998" top="1.02430555555556" bottom="1.02430555555556" header="0.78749999999999998" footer="0.78749999999999998"/>
  <pageSetup paperSize="9" orientation="portrait" useFirstPageNumber="1" horizontalDpi="300" verticalDpi="300"/>
  <headerFooter alignWithMargins="0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zoomScale="86" zoomScaleNormal="86" workbookViewId="0">
      <selection activeCell="G26" sqref="G26"/>
    </sheetView>
  </sheetViews>
  <sheetFormatPr defaultColWidth="12.1796875" defaultRowHeight="12.5"/>
  <cols>
    <col min="1" max="1" width="7.26953125" customWidth="1"/>
    <col min="2" max="2" width="15.26953125" customWidth="1"/>
    <col min="14" max="14" width="17.54296875" customWidth="1"/>
  </cols>
  <sheetData>
    <row r="1" spans="1:16" ht="22.4" customHeight="1">
      <c r="A1" s="126" t="s">
        <v>336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6" ht="18.649999999999999" customHeight="1">
      <c r="A2" s="53" t="s">
        <v>337</v>
      </c>
      <c r="B2" s="53" t="s">
        <v>338</v>
      </c>
      <c r="C2" s="53" t="s">
        <v>339</v>
      </c>
      <c r="D2" s="53" t="s">
        <v>340</v>
      </c>
      <c r="E2" s="53" t="s">
        <v>341</v>
      </c>
      <c r="F2" s="53" t="s">
        <v>342</v>
      </c>
      <c r="G2" s="53" t="s">
        <v>343</v>
      </c>
      <c r="H2" s="53" t="s">
        <v>344</v>
      </c>
      <c r="I2" s="53" t="s">
        <v>345</v>
      </c>
      <c r="J2" s="53" t="s">
        <v>346</v>
      </c>
      <c r="K2" s="53" t="s">
        <v>347</v>
      </c>
      <c r="L2" s="53" t="s">
        <v>348</v>
      </c>
      <c r="M2" s="53" t="s">
        <v>349</v>
      </c>
      <c r="N2" s="53" t="s">
        <v>350</v>
      </c>
    </row>
    <row r="3" spans="1:16" ht="16.5">
      <c r="A3" s="54">
        <v>1</v>
      </c>
      <c r="B3" s="54" t="s">
        <v>351</v>
      </c>
      <c r="C3" s="55" t="s">
        <v>34</v>
      </c>
      <c r="D3" s="55" t="s">
        <v>35</v>
      </c>
      <c r="E3" s="56"/>
      <c r="F3" s="55" t="s">
        <v>36</v>
      </c>
      <c r="G3" s="55" t="s">
        <v>37</v>
      </c>
      <c r="H3" s="57" t="s">
        <v>38</v>
      </c>
      <c r="I3" s="56"/>
      <c r="J3" s="55" t="s">
        <v>39</v>
      </c>
      <c r="K3" s="55" t="s">
        <v>40</v>
      </c>
      <c r="L3" s="55" t="s">
        <v>41</v>
      </c>
      <c r="M3" s="62"/>
      <c r="N3" s="62"/>
      <c r="O3" s="66"/>
      <c r="P3" s="68"/>
    </row>
    <row r="4" spans="1:16" ht="16.5">
      <c r="A4" s="54">
        <v>2</v>
      </c>
      <c r="B4" s="54" t="s">
        <v>352</v>
      </c>
      <c r="C4" s="55" t="s">
        <v>34</v>
      </c>
      <c r="D4" s="56"/>
      <c r="E4" s="57" t="s">
        <v>45</v>
      </c>
      <c r="F4" s="55" t="s">
        <v>36</v>
      </c>
      <c r="G4" s="55" t="s">
        <v>37</v>
      </c>
      <c r="H4" s="55" t="s">
        <v>46</v>
      </c>
      <c r="I4" s="55" t="s">
        <v>47</v>
      </c>
      <c r="J4" s="56"/>
      <c r="K4" s="55" t="s">
        <v>48</v>
      </c>
      <c r="L4" s="56"/>
      <c r="M4" s="62"/>
      <c r="N4" s="62"/>
      <c r="O4" s="66"/>
      <c r="P4" s="68"/>
    </row>
    <row r="5" spans="1:16" ht="16.5">
      <c r="A5" s="54">
        <v>3</v>
      </c>
      <c r="B5" s="54" t="s">
        <v>353</v>
      </c>
      <c r="C5" s="58" t="s">
        <v>52</v>
      </c>
      <c r="D5" s="56"/>
      <c r="E5" s="57" t="s">
        <v>45</v>
      </c>
      <c r="F5" s="55" t="s">
        <v>36</v>
      </c>
      <c r="G5" s="56"/>
      <c r="H5" s="55" t="s">
        <v>46</v>
      </c>
      <c r="I5" s="55" t="s">
        <v>53</v>
      </c>
      <c r="J5" s="56"/>
      <c r="K5" s="56"/>
      <c r="L5" s="55" t="s">
        <v>54</v>
      </c>
      <c r="M5" s="56"/>
      <c r="N5" s="62" t="s">
        <v>55</v>
      </c>
      <c r="O5" s="66"/>
      <c r="P5" s="69"/>
    </row>
    <row r="6" spans="1:16" ht="16.5">
      <c r="A6" s="54">
        <v>4</v>
      </c>
      <c r="B6" s="54" t="s">
        <v>354</v>
      </c>
      <c r="C6" s="58" t="s">
        <v>59</v>
      </c>
      <c r="D6" s="56"/>
      <c r="E6" s="55" t="s">
        <v>60</v>
      </c>
      <c r="F6" s="55" t="s">
        <v>36</v>
      </c>
      <c r="G6" s="55" t="s">
        <v>37</v>
      </c>
      <c r="H6" s="56"/>
      <c r="I6" s="55" t="s">
        <v>61</v>
      </c>
      <c r="J6" s="56"/>
      <c r="K6" s="56"/>
      <c r="L6" s="55" t="s">
        <v>62</v>
      </c>
      <c r="M6" s="55" t="s">
        <v>63</v>
      </c>
      <c r="N6" s="20" t="s">
        <v>64</v>
      </c>
      <c r="O6" s="66"/>
      <c r="P6" s="69"/>
    </row>
    <row r="7" spans="1:16" ht="16.5">
      <c r="A7" s="54">
        <v>5</v>
      </c>
      <c r="B7" s="54" t="s">
        <v>355</v>
      </c>
      <c r="C7" s="56"/>
      <c r="D7" s="55" t="s">
        <v>35</v>
      </c>
      <c r="E7" s="55" t="s">
        <v>68</v>
      </c>
      <c r="F7" s="55" t="s">
        <v>36</v>
      </c>
      <c r="G7" s="56"/>
      <c r="H7" s="55" t="s">
        <v>46</v>
      </c>
      <c r="I7" s="56"/>
      <c r="J7" s="56"/>
      <c r="K7" s="55" t="s">
        <v>69</v>
      </c>
      <c r="L7" s="56"/>
      <c r="M7" s="62"/>
      <c r="N7" s="62" t="s">
        <v>70</v>
      </c>
      <c r="O7" s="66"/>
      <c r="P7" s="68"/>
    </row>
    <row r="8" spans="1:16" ht="16.5">
      <c r="A8" s="54">
        <v>6</v>
      </c>
      <c r="B8" s="54" t="s">
        <v>356</v>
      </c>
      <c r="C8" s="56"/>
      <c r="D8" s="55" t="s">
        <v>75</v>
      </c>
      <c r="E8" s="19"/>
      <c r="F8" s="55" t="s">
        <v>36</v>
      </c>
      <c r="G8" s="59"/>
      <c r="H8" s="57" t="s">
        <v>76</v>
      </c>
      <c r="I8" s="55" t="s">
        <v>77</v>
      </c>
      <c r="J8" s="56"/>
      <c r="K8" s="55" t="s">
        <v>78</v>
      </c>
      <c r="L8" s="55" t="s">
        <v>79</v>
      </c>
      <c r="M8" s="56"/>
      <c r="N8" s="62" t="s">
        <v>80</v>
      </c>
      <c r="O8" s="66"/>
      <c r="P8" s="68"/>
    </row>
    <row r="9" spans="1:16" ht="16.5">
      <c r="A9" s="54">
        <v>7</v>
      </c>
      <c r="B9" s="54" t="s">
        <v>357</v>
      </c>
      <c r="C9" s="60" t="s">
        <v>84</v>
      </c>
      <c r="D9" s="61"/>
      <c r="E9" s="60" t="s">
        <v>85</v>
      </c>
      <c r="F9" s="60" t="s">
        <v>86</v>
      </c>
      <c r="G9" s="61"/>
      <c r="H9" s="60" t="s">
        <v>87</v>
      </c>
      <c r="I9" s="60" t="s">
        <v>88</v>
      </c>
      <c r="J9" s="60" t="s">
        <v>89</v>
      </c>
      <c r="K9" s="60" t="s">
        <v>90</v>
      </c>
      <c r="L9" s="60" t="s">
        <v>91</v>
      </c>
      <c r="M9" s="61"/>
      <c r="N9" s="61"/>
      <c r="O9" s="66"/>
      <c r="P9" s="68"/>
    </row>
    <row r="10" spans="1:16" ht="16.5">
      <c r="A10" s="54">
        <v>8</v>
      </c>
      <c r="B10" s="54" t="s">
        <v>358</v>
      </c>
      <c r="C10" s="57" t="s">
        <v>95</v>
      </c>
      <c r="D10" s="62"/>
      <c r="E10" s="55" t="s">
        <v>96</v>
      </c>
      <c r="F10" s="57" t="s">
        <v>97</v>
      </c>
      <c r="G10" s="55" t="s">
        <v>98</v>
      </c>
      <c r="H10" s="56"/>
      <c r="I10" s="56"/>
      <c r="J10" s="62"/>
      <c r="K10" s="56"/>
      <c r="L10" s="56"/>
      <c r="M10" s="62"/>
      <c r="N10" s="56" t="s">
        <v>99</v>
      </c>
      <c r="O10" s="66"/>
      <c r="P10" s="70"/>
    </row>
    <row r="11" spans="1:16" ht="16.5">
      <c r="A11" s="54">
        <v>9</v>
      </c>
      <c r="B11" s="54" t="s">
        <v>359</v>
      </c>
      <c r="C11" s="61"/>
      <c r="D11" s="61"/>
      <c r="E11" s="61"/>
      <c r="F11" s="54" t="s">
        <v>102</v>
      </c>
      <c r="G11" s="61"/>
      <c r="H11" s="61"/>
      <c r="I11" s="61"/>
      <c r="J11" s="60" t="s">
        <v>103</v>
      </c>
      <c r="K11" s="61"/>
      <c r="L11" s="60" t="s">
        <v>91</v>
      </c>
      <c r="M11" s="57" t="s">
        <v>104</v>
      </c>
      <c r="N11" s="61"/>
      <c r="O11" s="66"/>
      <c r="P11" s="70"/>
    </row>
    <row r="12" spans="1:16" ht="16.5">
      <c r="A12" s="54">
        <v>10</v>
      </c>
      <c r="B12" s="54" t="s">
        <v>360</v>
      </c>
      <c r="C12" s="56"/>
      <c r="D12" s="55" t="s">
        <v>75</v>
      </c>
      <c r="E12" s="56"/>
      <c r="F12" s="56"/>
      <c r="G12" s="55" t="s">
        <v>108</v>
      </c>
      <c r="H12" s="55" t="s">
        <v>109</v>
      </c>
      <c r="I12" s="55" t="s">
        <v>110</v>
      </c>
      <c r="J12" s="55" t="s">
        <v>111</v>
      </c>
      <c r="K12" s="56"/>
      <c r="L12" s="55" t="s">
        <v>112</v>
      </c>
      <c r="M12" s="57" t="s">
        <v>113</v>
      </c>
      <c r="N12" s="56"/>
      <c r="O12" s="66"/>
      <c r="P12" s="69"/>
    </row>
    <row r="13" spans="1:16" ht="16.5">
      <c r="A13" s="54">
        <v>11</v>
      </c>
      <c r="B13" s="54" t="s">
        <v>361</v>
      </c>
      <c r="C13" s="56"/>
      <c r="D13" s="55" t="s">
        <v>117</v>
      </c>
      <c r="E13" s="56"/>
      <c r="F13" s="56"/>
      <c r="G13" s="55" t="s">
        <v>108</v>
      </c>
      <c r="H13" s="55" t="s">
        <v>109</v>
      </c>
      <c r="I13" s="55" t="s">
        <v>53</v>
      </c>
      <c r="J13" s="56"/>
      <c r="K13" s="62"/>
      <c r="L13" s="56"/>
      <c r="M13" s="57" t="s">
        <v>113</v>
      </c>
      <c r="N13" s="56"/>
      <c r="O13" s="66"/>
      <c r="P13" s="68"/>
    </row>
    <row r="14" spans="1:16" ht="16.5">
      <c r="A14" s="54">
        <v>12</v>
      </c>
      <c r="B14" s="54" t="s">
        <v>362</v>
      </c>
      <c r="C14" s="58" t="s">
        <v>121</v>
      </c>
      <c r="D14" s="55" t="s">
        <v>122</v>
      </c>
      <c r="E14" s="56"/>
      <c r="F14" s="55" t="s">
        <v>123</v>
      </c>
      <c r="G14" s="56"/>
      <c r="H14" s="56"/>
      <c r="I14" s="55" t="s">
        <v>124</v>
      </c>
      <c r="J14" s="56"/>
      <c r="K14" s="56"/>
      <c r="L14" s="56"/>
      <c r="M14" s="56"/>
      <c r="N14" s="62"/>
      <c r="O14" s="66"/>
      <c r="P14" s="68"/>
    </row>
    <row r="15" spans="1:16" ht="16.5">
      <c r="A15" s="54">
        <v>13</v>
      </c>
      <c r="B15" s="54" t="s">
        <v>363</v>
      </c>
      <c r="C15" s="57" t="s">
        <v>128</v>
      </c>
      <c r="D15" s="62"/>
      <c r="E15" s="55" t="s">
        <v>129</v>
      </c>
      <c r="F15" s="57" t="s">
        <v>130</v>
      </c>
      <c r="G15" s="62"/>
      <c r="H15" s="56"/>
      <c r="I15" s="55" t="s">
        <v>131</v>
      </c>
      <c r="J15" s="55" t="s">
        <v>132</v>
      </c>
      <c r="K15" s="55" t="s">
        <v>133</v>
      </c>
      <c r="L15" s="55" t="s">
        <v>134</v>
      </c>
      <c r="M15" s="55" t="s">
        <v>135</v>
      </c>
      <c r="N15" s="24" t="s">
        <v>136</v>
      </c>
      <c r="O15" s="66"/>
      <c r="P15" s="70"/>
    </row>
    <row r="16" spans="1:16" ht="16.5">
      <c r="A16" s="54">
        <v>14</v>
      </c>
      <c r="B16" s="54" t="s">
        <v>364</v>
      </c>
      <c r="C16" s="57" t="s">
        <v>140</v>
      </c>
      <c r="D16" s="62"/>
      <c r="E16" s="55" t="s">
        <v>141</v>
      </c>
      <c r="F16" s="62"/>
      <c r="G16" s="55" t="s">
        <v>142</v>
      </c>
      <c r="H16" s="56"/>
      <c r="I16" s="56"/>
      <c r="J16" s="55" t="s">
        <v>143</v>
      </c>
      <c r="K16" s="56"/>
      <c r="L16" s="57" t="s">
        <v>144</v>
      </c>
      <c r="M16" s="62"/>
      <c r="N16" s="20" t="s">
        <v>145</v>
      </c>
      <c r="O16" s="66"/>
      <c r="P16" s="68"/>
    </row>
    <row r="17" spans="1:16" ht="16.5">
      <c r="A17" s="54">
        <v>15</v>
      </c>
      <c r="B17" s="54" t="s">
        <v>365</v>
      </c>
      <c r="C17" s="62"/>
      <c r="D17" s="55" t="s">
        <v>148</v>
      </c>
      <c r="E17" s="55" t="s">
        <v>149</v>
      </c>
      <c r="F17" s="56"/>
      <c r="G17" s="57" t="s">
        <v>150</v>
      </c>
      <c r="H17" s="56"/>
      <c r="I17" s="55" t="s">
        <v>151</v>
      </c>
      <c r="J17" s="56"/>
      <c r="K17" s="56"/>
      <c r="L17" s="55" t="s">
        <v>152</v>
      </c>
      <c r="M17" s="55" t="s">
        <v>153</v>
      </c>
      <c r="N17" s="62" t="s">
        <v>154</v>
      </c>
      <c r="O17" s="66"/>
      <c r="P17" s="68"/>
    </row>
    <row r="18" spans="1:16" ht="16.5">
      <c r="A18" s="54">
        <v>16</v>
      </c>
      <c r="B18" s="54" t="s">
        <v>366</v>
      </c>
      <c r="C18" s="57" t="s">
        <v>140</v>
      </c>
      <c r="D18" s="62"/>
      <c r="E18" s="55" t="s">
        <v>158</v>
      </c>
      <c r="F18" s="55" t="s">
        <v>159</v>
      </c>
      <c r="G18" s="57" t="s">
        <v>160</v>
      </c>
      <c r="H18" s="57" t="s">
        <v>161</v>
      </c>
      <c r="I18" s="55" t="s">
        <v>162</v>
      </c>
      <c r="J18" s="56"/>
      <c r="K18" s="56"/>
      <c r="L18" s="55" t="s">
        <v>134</v>
      </c>
      <c r="M18" s="56"/>
      <c r="N18" s="56" t="s">
        <v>163</v>
      </c>
      <c r="O18" s="66"/>
      <c r="P18" s="70"/>
    </row>
    <row r="19" spans="1:16" ht="16.5">
      <c r="A19" s="54">
        <v>17</v>
      </c>
      <c r="B19" s="54" t="s">
        <v>367</v>
      </c>
      <c r="C19" s="55" t="s">
        <v>167</v>
      </c>
      <c r="D19" s="55" t="s">
        <v>168</v>
      </c>
      <c r="E19" s="55" t="s">
        <v>141</v>
      </c>
      <c r="F19" s="56"/>
      <c r="G19" s="55" t="s">
        <v>169</v>
      </c>
      <c r="H19" s="55" t="s">
        <v>170</v>
      </c>
      <c r="I19" s="56"/>
      <c r="J19" s="55" t="s">
        <v>171</v>
      </c>
      <c r="K19" s="55" t="s">
        <v>172</v>
      </c>
      <c r="L19" s="55" t="s">
        <v>173</v>
      </c>
      <c r="M19" s="57" t="s">
        <v>174</v>
      </c>
      <c r="N19" s="62" t="s">
        <v>175</v>
      </c>
      <c r="O19" s="66"/>
      <c r="P19" s="70"/>
    </row>
    <row r="20" spans="1:16" ht="16.5">
      <c r="A20" s="54">
        <v>18</v>
      </c>
      <c r="B20" s="54" t="s">
        <v>368</v>
      </c>
      <c r="C20" s="57" t="s">
        <v>178</v>
      </c>
      <c r="D20" s="56"/>
      <c r="E20" s="55" t="s">
        <v>179</v>
      </c>
      <c r="F20" s="55" t="s">
        <v>180</v>
      </c>
      <c r="G20" s="55" t="s">
        <v>181</v>
      </c>
      <c r="H20" s="56"/>
      <c r="I20" s="55" t="s">
        <v>182</v>
      </c>
      <c r="J20" s="55" t="s">
        <v>183</v>
      </c>
      <c r="K20" s="55" t="s">
        <v>184</v>
      </c>
      <c r="L20" s="56"/>
      <c r="M20" s="55" t="s">
        <v>185</v>
      </c>
      <c r="N20" s="20" t="s">
        <v>145</v>
      </c>
      <c r="O20" s="66"/>
      <c r="P20" s="70"/>
    </row>
    <row r="21" spans="1:16" ht="16.5">
      <c r="A21" s="54">
        <v>19</v>
      </c>
      <c r="B21" s="54" t="s">
        <v>369</v>
      </c>
      <c r="C21" s="55" t="s">
        <v>95</v>
      </c>
      <c r="D21" s="62"/>
      <c r="E21" s="55" t="s">
        <v>188</v>
      </c>
      <c r="F21" s="62"/>
      <c r="G21" s="56"/>
      <c r="H21" s="56"/>
      <c r="I21" s="57" t="s">
        <v>131</v>
      </c>
      <c r="J21" s="57" t="s">
        <v>183</v>
      </c>
      <c r="K21" s="71"/>
      <c r="L21" s="71"/>
      <c r="M21" s="72" t="s">
        <v>104</v>
      </c>
      <c r="N21" s="71"/>
      <c r="O21" s="66"/>
      <c r="P21" s="70"/>
    </row>
    <row r="22" spans="1:16" ht="16.5">
      <c r="A22" s="54">
        <v>20</v>
      </c>
      <c r="B22" s="54" t="s">
        <v>370</v>
      </c>
      <c r="C22" s="57" t="s">
        <v>95</v>
      </c>
      <c r="D22" s="62"/>
      <c r="E22" s="55" t="s">
        <v>179</v>
      </c>
      <c r="F22" s="56"/>
      <c r="G22" s="55" t="s">
        <v>169</v>
      </c>
      <c r="H22" s="55" t="s">
        <v>191</v>
      </c>
      <c r="I22" s="56"/>
      <c r="J22" s="56" t="s">
        <v>371</v>
      </c>
      <c r="K22" s="56"/>
      <c r="L22" s="56"/>
      <c r="M22" s="56"/>
      <c r="N22" s="62" t="s">
        <v>154</v>
      </c>
      <c r="O22" s="66"/>
      <c r="P22" s="70"/>
    </row>
    <row r="23" spans="1:16" ht="16.5">
      <c r="A23" s="54">
        <v>21</v>
      </c>
      <c r="B23" s="54" t="s">
        <v>372</v>
      </c>
      <c r="C23" s="55" t="s">
        <v>196</v>
      </c>
      <c r="D23" s="57" t="s">
        <v>117</v>
      </c>
      <c r="E23" s="56"/>
      <c r="F23" s="56"/>
      <c r="G23" s="55" t="s">
        <v>181</v>
      </c>
      <c r="H23" s="56"/>
      <c r="I23" s="56"/>
      <c r="J23" s="55" t="s">
        <v>171</v>
      </c>
      <c r="K23" s="56"/>
      <c r="L23" s="55" t="s">
        <v>197</v>
      </c>
      <c r="M23" s="62"/>
      <c r="N23" s="62"/>
      <c r="O23" s="66"/>
      <c r="P23" s="68"/>
    </row>
    <row r="24" spans="1:16" ht="16.5">
      <c r="A24" s="54">
        <v>22</v>
      </c>
      <c r="B24" s="54" t="s">
        <v>373</v>
      </c>
      <c r="C24" s="55" t="s">
        <v>201</v>
      </c>
      <c r="D24" s="57" t="s">
        <v>202</v>
      </c>
      <c r="E24" s="55" t="s">
        <v>203</v>
      </c>
      <c r="F24" s="55" t="s">
        <v>204</v>
      </c>
      <c r="G24" s="55" t="s">
        <v>160</v>
      </c>
      <c r="H24" s="56"/>
      <c r="I24" s="56"/>
      <c r="J24" s="57" t="s">
        <v>205</v>
      </c>
      <c r="K24" s="57" t="s">
        <v>206</v>
      </c>
      <c r="L24" s="56"/>
      <c r="M24" s="55" t="s">
        <v>174</v>
      </c>
      <c r="N24" s="62"/>
      <c r="O24" s="66"/>
      <c r="P24" s="70"/>
    </row>
    <row r="25" spans="1:16" ht="16.5">
      <c r="A25" s="54">
        <v>23</v>
      </c>
      <c r="B25" s="54" t="s">
        <v>374</v>
      </c>
      <c r="C25" s="62"/>
      <c r="D25" s="57" t="s">
        <v>201</v>
      </c>
      <c r="E25" s="56"/>
      <c r="F25" s="57" t="s">
        <v>159</v>
      </c>
      <c r="G25" s="57" t="s">
        <v>210</v>
      </c>
      <c r="H25" s="56"/>
      <c r="I25" s="55" t="s">
        <v>211</v>
      </c>
      <c r="J25" s="57" t="s">
        <v>143</v>
      </c>
      <c r="K25" s="55" t="s">
        <v>212</v>
      </c>
      <c r="L25" s="56"/>
      <c r="M25" s="55" t="s">
        <v>213</v>
      </c>
      <c r="N25" s="56"/>
      <c r="O25" s="66"/>
      <c r="P25" s="68"/>
    </row>
    <row r="26" spans="1:16" ht="16.5">
      <c r="A26" s="54">
        <v>24</v>
      </c>
      <c r="B26" s="54" t="s">
        <v>375</v>
      </c>
      <c r="C26" s="55" t="s">
        <v>84</v>
      </c>
      <c r="D26" s="62"/>
      <c r="E26" s="57" t="s">
        <v>158</v>
      </c>
      <c r="F26" s="55" t="s">
        <v>180</v>
      </c>
      <c r="G26" s="57" t="s">
        <v>98</v>
      </c>
      <c r="H26" s="56"/>
      <c r="I26" s="55" t="s">
        <v>217</v>
      </c>
      <c r="J26" s="56"/>
      <c r="K26" s="56" t="s">
        <v>376</v>
      </c>
      <c r="L26" s="56"/>
      <c r="M26" s="55" t="s">
        <v>135</v>
      </c>
      <c r="N26" s="56"/>
      <c r="O26" s="66"/>
      <c r="P26" s="70"/>
    </row>
    <row r="27" spans="1:16" ht="16.5">
      <c r="A27" s="54">
        <v>25</v>
      </c>
      <c r="B27" s="54" t="s">
        <v>377</v>
      </c>
      <c r="C27" s="57" t="s">
        <v>52</v>
      </c>
      <c r="D27" s="57" t="s">
        <v>220</v>
      </c>
      <c r="E27" s="55" t="s">
        <v>221</v>
      </c>
      <c r="F27" s="55" t="s">
        <v>222</v>
      </c>
      <c r="G27" s="55" t="s">
        <v>223</v>
      </c>
      <c r="H27" s="55" t="s">
        <v>224</v>
      </c>
      <c r="I27" s="55" t="s">
        <v>124</v>
      </c>
      <c r="J27" s="56"/>
      <c r="K27" s="55" t="s">
        <v>78</v>
      </c>
      <c r="L27" s="55" t="s">
        <v>225</v>
      </c>
      <c r="M27" s="62"/>
      <c r="N27" s="56" t="s">
        <v>226</v>
      </c>
      <c r="O27" s="66"/>
      <c r="P27" s="70"/>
    </row>
    <row r="28" spans="1:16" ht="16.5">
      <c r="A28" s="54">
        <v>26</v>
      </c>
      <c r="B28" s="54" t="s">
        <v>378</v>
      </c>
      <c r="C28" s="57" t="s">
        <v>229</v>
      </c>
      <c r="D28" s="62"/>
      <c r="E28" s="55" t="s">
        <v>230</v>
      </c>
      <c r="F28" s="62"/>
      <c r="G28" s="55" t="s">
        <v>150</v>
      </c>
      <c r="H28" s="55" t="s">
        <v>231</v>
      </c>
      <c r="I28" s="56"/>
      <c r="J28" s="57" t="s">
        <v>232</v>
      </c>
      <c r="K28" s="62"/>
      <c r="L28" s="62"/>
      <c r="M28" s="62"/>
      <c r="N28" s="56" t="s">
        <v>226</v>
      </c>
      <c r="O28" s="66"/>
      <c r="P28" s="70"/>
    </row>
    <row r="29" spans="1:16" ht="16.5">
      <c r="A29" s="54">
        <v>27</v>
      </c>
      <c r="B29" s="54" t="s">
        <v>379</v>
      </c>
      <c r="C29" s="57" t="s">
        <v>229</v>
      </c>
      <c r="D29" s="56"/>
      <c r="E29" s="55" t="s">
        <v>230</v>
      </c>
      <c r="F29" s="62"/>
      <c r="G29" s="55" t="s">
        <v>98</v>
      </c>
      <c r="H29" s="56"/>
      <c r="I29" s="55" t="s">
        <v>151</v>
      </c>
      <c r="J29" s="57" t="s">
        <v>235</v>
      </c>
      <c r="K29" s="62"/>
      <c r="L29" s="57" t="s">
        <v>236</v>
      </c>
      <c r="M29" s="57" t="s">
        <v>237</v>
      </c>
      <c r="N29" s="56"/>
      <c r="O29" s="66"/>
      <c r="P29" s="70"/>
    </row>
    <row r="30" spans="1:16" ht="16.5">
      <c r="A30" s="54">
        <v>28</v>
      </c>
      <c r="B30" s="54" t="s">
        <v>380</v>
      </c>
      <c r="C30" s="57" t="s">
        <v>196</v>
      </c>
      <c r="D30" s="57" t="s">
        <v>148</v>
      </c>
      <c r="E30" s="62"/>
      <c r="F30" s="57" t="s">
        <v>241</v>
      </c>
      <c r="G30" s="56"/>
      <c r="H30" s="62"/>
      <c r="I30" s="56"/>
      <c r="J30" s="62"/>
      <c r="K30" s="55" t="s">
        <v>242</v>
      </c>
      <c r="L30" s="62"/>
      <c r="M30" s="62"/>
      <c r="N30" s="56" t="s">
        <v>243</v>
      </c>
      <c r="O30" s="66"/>
      <c r="P30" s="70"/>
    </row>
    <row r="31" spans="1:16" ht="16.5">
      <c r="A31" s="54">
        <v>29</v>
      </c>
      <c r="B31" s="54" t="s">
        <v>381</v>
      </c>
      <c r="C31" s="57" t="s">
        <v>229</v>
      </c>
      <c r="D31" s="56"/>
      <c r="E31" s="55" t="s">
        <v>129</v>
      </c>
      <c r="F31" s="56"/>
      <c r="G31" s="57" t="s">
        <v>246</v>
      </c>
      <c r="H31" s="62"/>
      <c r="I31" s="55" t="s">
        <v>247</v>
      </c>
      <c r="J31" s="62"/>
      <c r="K31" s="56"/>
      <c r="L31" s="56"/>
      <c r="M31" s="55" t="s">
        <v>185</v>
      </c>
      <c r="N31" s="56"/>
      <c r="O31" s="66"/>
      <c r="P31" s="70"/>
    </row>
    <row r="32" spans="1:16" ht="16.5">
      <c r="A32" s="54">
        <v>30</v>
      </c>
      <c r="B32" s="54" t="s">
        <v>382</v>
      </c>
      <c r="C32" s="57" t="s">
        <v>251</v>
      </c>
      <c r="D32" s="62"/>
      <c r="E32" s="56"/>
      <c r="F32" s="57" t="s">
        <v>252</v>
      </c>
      <c r="G32" s="55" t="s">
        <v>253</v>
      </c>
      <c r="H32" s="57" t="s">
        <v>254</v>
      </c>
      <c r="I32" s="56"/>
      <c r="J32" s="62"/>
      <c r="K32" s="62"/>
      <c r="L32" s="62"/>
      <c r="M32" s="62"/>
      <c r="N32" s="56"/>
      <c r="O32" s="66"/>
      <c r="P32" s="70"/>
    </row>
    <row r="33" spans="1:16" ht="16.5">
      <c r="A33" s="54">
        <v>31</v>
      </c>
      <c r="B33" s="54" t="s">
        <v>383</v>
      </c>
      <c r="C33" s="57" t="s">
        <v>259</v>
      </c>
      <c r="D33" s="57" t="s">
        <v>260</v>
      </c>
      <c r="E33" s="62"/>
      <c r="F33" s="62"/>
      <c r="G33" s="57" t="s">
        <v>261</v>
      </c>
      <c r="H33" s="56"/>
      <c r="I33" s="56"/>
      <c r="J33" s="55" t="s">
        <v>262</v>
      </c>
      <c r="K33" s="62"/>
      <c r="L33" s="62" t="s">
        <v>384</v>
      </c>
      <c r="M33" s="62"/>
      <c r="N33" s="56" t="s">
        <v>263</v>
      </c>
      <c r="O33" s="66"/>
      <c r="P33" s="68"/>
    </row>
    <row r="34" spans="1:16" ht="16.5">
      <c r="A34" s="54">
        <v>32</v>
      </c>
      <c r="B34" s="54" t="s">
        <v>385</v>
      </c>
      <c r="C34" s="62"/>
      <c r="D34" s="57" t="s">
        <v>266</v>
      </c>
      <c r="E34" s="62"/>
      <c r="F34" s="56"/>
      <c r="G34" s="56"/>
      <c r="H34" s="62"/>
      <c r="I34" s="55" t="s">
        <v>131</v>
      </c>
      <c r="J34" s="62"/>
      <c r="K34" s="56"/>
      <c r="L34" s="57" t="s">
        <v>267</v>
      </c>
      <c r="M34" s="62"/>
      <c r="N34" s="62"/>
      <c r="O34" s="66"/>
      <c r="P34" s="68"/>
    </row>
    <row r="35" spans="1:16" ht="16.5">
      <c r="A35" s="54">
        <v>33</v>
      </c>
      <c r="B35" s="54" t="s">
        <v>386</v>
      </c>
      <c r="C35" s="62"/>
      <c r="D35" s="57" t="s">
        <v>271</v>
      </c>
      <c r="E35" s="62"/>
      <c r="F35" s="56"/>
      <c r="G35" s="56"/>
      <c r="H35" s="56"/>
      <c r="I35" s="62"/>
      <c r="J35" s="55" t="s">
        <v>89</v>
      </c>
      <c r="K35" s="56"/>
      <c r="L35" s="56"/>
      <c r="M35" s="62"/>
      <c r="N35" s="62"/>
      <c r="O35" s="66"/>
      <c r="P35" s="70"/>
    </row>
    <row r="36" spans="1:16" ht="16.5">
      <c r="A36" s="54">
        <v>34</v>
      </c>
      <c r="B36" s="54" t="s">
        <v>387</v>
      </c>
      <c r="C36" s="62"/>
      <c r="D36" s="62"/>
      <c r="E36" s="57" t="s">
        <v>85</v>
      </c>
      <c r="F36" s="62"/>
      <c r="G36" s="56"/>
      <c r="H36" s="62"/>
      <c r="I36" s="55" t="s">
        <v>275</v>
      </c>
      <c r="J36" s="62"/>
      <c r="K36" s="56"/>
      <c r="L36" s="56"/>
      <c r="M36" s="62" t="s">
        <v>388</v>
      </c>
      <c r="N36" s="62"/>
      <c r="O36" s="66"/>
      <c r="P36" s="70"/>
    </row>
    <row r="37" spans="1:16" ht="16.5">
      <c r="A37" s="54">
        <v>35</v>
      </c>
      <c r="B37" s="54" t="s">
        <v>389</v>
      </c>
      <c r="C37" s="55" t="s">
        <v>278</v>
      </c>
      <c r="D37" s="55" t="s">
        <v>279</v>
      </c>
      <c r="E37" s="62"/>
      <c r="F37" s="62"/>
      <c r="G37" s="55" t="s">
        <v>223</v>
      </c>
      <c r="H37" s="56"/>
      <c r="I37" s="62" t="s">
        <v>390</v>
      </c>
      <c r="J37" s="56" t="s">
        <v>391</v>
      </c>
      <c r="K37" s="62"/>
      <c r="L37" s="55" t="s">
        <v>91</v>
      </c>
      <c r="M37" s="56"/>
      <c r="N37" s="56"/>
      <c r="O37" s="66"/>
      <c r="P37" s="70"/>
    </row>
    <row r="38" spans="1:16" ht="16.5">
      <c r="A38" s="54">
        <v>36</v>
      </c>
      <c r="B38" s="54" t="s">
        <v>392</v>
      </c>
      <c r="C38" s="57" t="s">
        <v>251</v>
      </c>
      <c r="D38" s="56"/>
      <c r="E38" s="57" t="s">
        <v>283</v>
      </c>
      <c r="F38" s="62"/>
      <c r="G38" s="55" t="s">
        <v>284</v>
      </c>
      <c r="H38" s="62"/>
      <c r="I38" s="55" t="s">
        <v>217</v>
      </c>
      <c r="J38" s="56" t="s">
        <v>393</v>
      </c>
      <c r="K38" s="56"/>
      <c r="L38" s="55" t="s">
        <v>285</v>
      </c>
      <c r="M38" s="56"/>
      <c r="N38" s="56"/>
      <c r="O38" s="66"/>
      <c r="P38" s="70"/>
    </row>
    <row r="39" spans="1:16" ht="16.5">
      <c r="A39" s="54">
        <v>37</v>
      </c>
      <c r="B39" s="54" t="s">
        <v>394</v>
      </c>
      <c r="C39" s="63"/>
      <c r="D39" s="64"/>
      <c r="E39" s="64"/>
      <c r="F39" s="63"/>
      <c r="G39" s="65" t="s">
        <v>253</v>
      </c>
      <c r="H39" s="63"/>
      <c r="I39" s="64"/>
      <c r="J39" s="64"/>
      <c r="K39" s="64"/>
      <c r="L39" s="64"/>
      <c r="M39" s="64"/>
      <c r="N39" s="64"/>
      <c r="O39" s="66"/>
      <c r="P39" s="70"/>
    </row>
    <row r="40" spans="1:16" ht="16.5">
      <c r="A40" s="54">
        <v>38</v>
      </c>
      <c r="B40" s="54" t="s">
        <v>395</v>
      </c>
      <c r="C40" s="62"/>
      <c r="D40" s="56"/>
      <c r="E40" s="57" t="s">
        <v>203</v>
      </c>
      <c r="F40" s="62"/>
      <c r="G40" s="56"/>
      <c r="H40" s="62"/>
      <c r="I40" s="56"/>
      <c r="J40" s="56"/>
      <c r="K40" s="56"/>
      <c r="L40" s="55" t="s">
        <v>225</v>
      </c>
      <c r="M40" s="56"/>
      <c r="N40" s="56" t="s">
        <v>163</v>
      </c>
      <c r="O40" s="66"/>
      <c r="P40" s="68"/>
    </row>
    <row r="41" spans="1:16" ht="16.5">
      <c r="A41" s="54">
        <v>39</v>
      </c>
      <c r="B41" s="54" t="s">
        <v>396</v>
      </c>
      <c r="C41" s="57" t="s">
        <v>259</v>
      </c>
      <c r="D41" s="56"/>
      <c r="E41" s="57" t="s">
        <v>293</v>
      </c>
      <c r="F41" s="62"/>
      <c r="G41" s="55" t="s">
        <v>37</v>
      </c>
      <c r="H41" s="62"/>
      <c r="I41" s="55" t="s">
        <v>110</v>
      </c>
      <c r="J41" s="56"/>
      <c r="K41" s="55" t="s">
        <v>294</v>
      </c>
      <c r="L41" s="56"/>
      <c r="M41" s="56"/>
      <c r="N41" s="56"/>
      <c r="O41" s="66"/>
      <c r="P41" s="68"/>
    </row>
    <row r="42" spans="1:16" ht="16.5">
      <c r="A42" s="54">
        <v>40</v>
      </c>
      <c r="B42" s="54" t="s">
        <v>397</v>
      </c>
      <c r="C42" s="61"/>
      <c r="D42" s="60" t="s">
        <v>296</v>
      </c>
      <c r="E42" s="60" t="s">
        <v>297</v>
      </c>
      <c r="F42" s="60" t="s">
        <v>298</v>
      </c>
      <c r="G42" s="60" t="s">
        <v>223</v>
      </c>
      <c r="H42" s="60" t="s">
        <v>109</v>
      </c>
      <c r="I42" s="61"/>
      <c r="J42" s="61"/>
      <c r="K42" s="61"/>
      <c r="L42" s="61"/>
      <c r="M42" s="61"/>
      <c r="N42" s="61"/>
      <c r="O42" s="66"/>
      <c r="P42" s="70"/>
    </row>
    <row r="43" spans="1:16" ht="16.5">
      <c r="A43" s="54">
        <v>41</v>
      </c>
      <c r="B43" s="54" t="s">
        <v>398</v>
      </c>
      <c r="C43" s="61"/>
      <c r="D43" s="61"/>
      <c r="E43" s="60" t="s">
        <v>300</v>
      </c>
      <c r="F43" s="61"/>
      <c r="G43" s="61"/>
      <c r="H43" s="60" t="s">
        <v>301</v>
      </c>
      <c r="I43" s="61"/>
      <c r="J43" s="60" t="s">
        <v>302</v>
      </c>
      <c r="K43" s="61"/>
      <c r="L43" s="60" t="s">
        <v>303</v>
      </c>
      <c r="M43" s="60" t="s">
        <v>304</v>
      </c>
      <c r="N43" s="61"/>
      <c r="O43" s="66"/>
      <c r="P43" s="70"/>
    </row>
    <row r="44" spans="1:16" ht="16.5">
      <c r="A44" s="54">
        <v>42</v>
      </c>
      <c r="B44" s="54" t="s">
        <v>399</v>
      </c>
      <c r="C44" s="61"/>
      <c r="D44" s="60" t="s">
        <v>75</v>
      </c>
      <c r="E44" s="61"/>
      <c r="F44" s="61"/>
      <c r="G44" s="60" t="s">
        <v>223</v>
      </c>
      <c r="H44" s="61"/>
      <c r="I44" s="61"/>
      <c r="J44" s="60" t="s">
        <v>132</v>
      </c>
      <c r="K44" s="61"/>
      <c r="L44" s="60" t="s">
        <v>152</v>
      </c>
      <c r="M44" s="61"/>
      <c r="N44" s="61"/>
      <c r="O44" s="66"/>
      <c r="P44" s="70"/>
    </row>
    <row r="45" spans="1:16" ht="16.5">
      <c r="A45" s="54">
        <v>43</v>
      </c>
      <c r="B45" s="54" t="s">
        <v>400</v>
      </c>
      <c r="C45" s="61"/>
      <c r="D45" s="61"/>
      <c r="E45" s="61"/>
      <c r="F45" s="61"/>
      <c r="G45" s="61"/>
      <c r="H45" s="61"/>
      <c r="I45" s="55" t="s">
        <v>217</v>
      </c>
      <c r="J45" s="61"/>
      <c r="K45" s="61"/>
      <c r="L45" s="60" t="s">
        <v>309</v>
      </c>
      <c r="M45" s="61"/>
      <c r="N45" s="61"/>
      <c r="O45" s="66"/>
      <c r="P45" s="68"/>
    </row>
    <row r="46" spans="1:16" ht="16.5">
      <c r="A46" s="54">
        <v>44</v>
      </c>
      <c r="B46" s="61" t="s">
        <v>401</v>
      </c>
      <c r="C46" s="61"/>
      <c r="D46" s="60" t="s">
        <v>296</v>
      </c>
      <c r="E46" s="61"/>
      <c r="F46" s="60" t="s">
        <v>311</v>
      </c>
      <c r="G46" s="60" t="s">
        <v>312</v>
      </c>
      <c r="H46" s="60" t="s">
        <v>313</v>
      </c>
      <c r="I46" s="61"/>
      <c r="J46" s="61"/>
      <c r="K46" s="61"/>
      <c r="L46" s="61"/>
      <c r="M46" s="61"/>
      <c r="N46" s="61"/>
      <c r="O46" s="66"/>
      <c r="P46" s="70"/>
    </row>
    <row r="47" spans="1:16" ht="16.5">
      <c r="A47" s="54">
        <v>45</v>
      </c>
      <c r="B47" s="54" t="s">
        <v>402</v>
      </c>
      <c r="C47" s="61"/>
      <c r="D47" s="60" t="s">
        <v>316</v>
      </c>
      <c r="E47" s="61"/>
      <c r="F47" s="60" t="s">
        <v>311</v>
      </c>
      <c r="G47" s="61"/>
      <c r="H47" s="61"/>
      <c r="I47" s="61"/>
      <c r="J47" s="61"/>
      <c r="K47" s="61"/>
      <c r="L47" s="61"/>
      <c r="M47" s="61"/>
      <c r="N47" s="61"/>
      <c r="O47" s="66"/>
      <c r="P47" s="68"/>
    </row>
    <row r="48" spans="1:16" ht="16.5">
      <c r="A48" s="54">
        <v>46</v>
      </c>
      <c r="B48" s="54" t="s">
        <v>403</v>
      </c>
      <c r="C48" s="61"/>
      <c r="D48" s="61"/>
      <c r="E48" s="60" t="s">
        <v>203</v>
      </c>
      <c r="F48" s="61"/>
      <c r="G48" s="60" t="s">
        <v>319</v>
      </c>
      <c r="H48" s="60" t="s">
        <v>301</v>
      </c>
      <c r="I48" s="61"/>
      <c r="J48" s="61"/>
      <c r="K48" s="61"/>
      <c r="L48" s="61"/>
      <c r="M48" s="61"/>
      <c r="N48" s="61"/>
      <c r="O48" s="66"/>
      <c r="P48" s="70"/>
    </row>
    <row r="49" spans="1:16" ht="16.5">
      <c r="A49" s="54">
        <v>47</v>
      </c>
      <c r="B49" s="54" t="s">
        <v>404</v>
      </c>
      <c r="C49" s="61"/>
      <c r="D49" s="61"/>
      <c r="E49" s="61"/>
      <c r="F49" s="61"/>
      <c r="G49" s="60" t="s">
        <v>108</v>
      </c>
      <c r="H49" s="61"/>
      <c r="I49" s="61"/>
      <c r="J49" s="60" t="s">
        <v>323</v>
      </c>
      <c r="K49" s="61"/>
      <c r="L49" s="60" t="s">
        <v>324</v>
      </c>
      <c r="M49" s="60" t="s">
        <v>135</v>
      </c>
      <c r="N49" s="61"/>
      <c r="O49" s="66"/>
      <c r="P49" s="70"/>
    </row>
    <row r="50" spans="1:16" ht="16.5">
      <c r="A50" s="54">
        <v>48</v>
      </c>
      <c r="B50" s="54" t="s">
        <v>405</v>
      </c>
      <c r="C50" s="61"/>
      <c r="D50" s="61"/>
      <c r="E50" s="61"/>
      <c r="F50" s="61"/>
      <c r="G50" s="60" t="s">
        <v>108</v>
      </c>
      <c r="H50" s="61"/>
      <c r="I50" s="61"/>
      <c r="J50" s="60" t="s">
        <v>262</v>
      </c>
      <c r="K50" s="61"/>
      <c r="L50" s="60" t="s">
        <v>324</v>
      </c>
      <c r="M50" s="60" t="s">
        <v>135</v>
      </c>
      <c r="N50" s="61"/>
      <c r="O50" s="66"/>
      <c r="P50" s="70"/>
    </row>
    <row r="51" spans="1:16" ht="16.5">
      <c r="A51" s="54">
        <v>49</v>
      </c>
      <c r="B51" s="54" t="s">
        <v>406</v>
      </c>
      <c r="C51" s="61"/>
      <c r="D51" s="60" t="s">
        <v>329</v>
      </c>
      <c r="E51" s="60" t="s">
        <v>102</v>
      </c>
      <c r="F51" s="60" t="s">
        <v>108</v>
      </c>
      <c r="G51" s="61"/>
      <c r="H51" s="61"/>
      <c r="I51" s="61"/>
      <c r="J51" s="60" t="s">
        <v>262</v>
      </c>
      <c r="K51" s="61"/>
      <c r="L51" s="60" t="s">
        <v>324</v>
      </c>
      <c r="M51" s="61"/>
      <c r="N51" s="61"/>
      <c r="O51" s="66"/>
      <c r="P51" s="68"/>
    </row>
    <row r="52" spans="1:16" ht="16.5">
      <c r="B52" s="66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P52" s="68"/>
    </row>
    <row r="53" spans="1:16">
      <c r="F53" s="67"/>
      <c r="H53" s="67"/>
    </row>
  </sheetData>
  <mergeCells count="1">
    <mergeCell ref="A1:N1"/>
  </mergeCells>
  <pageMargins left="0.78749999999999998" right="0.78749999999999998" top="1.05277777777778" bottom="1.05277777777778" header="0.78749999999999998" footer="0.78749999999999998"/>
  <pageSetup paperSize="9" firstPageNumber="0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88"/>
  <sheetViews>
    <sheetView tabSelected="1" topLeftCell="E1" zoomScale="69" zoomScaleNormal="79" workbookViewId="0">
      <pane ySplit="5" topLeftCell="A6" activePane="bottomLeft" state="frozen"/>
      <selection pane="bottomLeft" activeCell="T5" sqref="T5"/>
    </sheetView>
  </sheetViews>
  <sheetFormatPr defaultColWidth="9.1796875" defaultRowHeight="12.5"/>
  <cols>
    <col min="1" max="1" width="5.7265625" style="2" customWidth="1"/>
    <col min="2" max="2" width="13.81640625" style="2" customWidth="1"/>
    <col min="3" max="3" width="60" style="2" customWidth="1"/>
    <col min="4" max="4" width="13.1796875" style="2" customWidth="1"/>
    <col min="5" max="5" width="17" style="2" customWidth="1"/>
    <col min="6" max="6" width="13.1796875" style="2" customWidth="1"/>
    <col min="7" max="7" width="10.81640625" style="2" customWidth="1"/>
    <col min="8" max="18" width="13" style="3" customWidth="1"/>
    <col min="19" max="19" width="16.81640625" style="3" customWidth="1"/>
    <col min="20" max="20" width="15.26953125" style="146" customWidth="1"/>
    <col min="21" max="1022" width="9.1796875" style="3"/>
  </cols>
  <sheetData>
    <row r="1" spans="1:23" ht="20.149999999999999" customHeight="1">
      <c r="A1" s="116" t="s">
        <v>407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36" t="s">
        <v>1</v>
      </c>
      <c r="R1" s="111" t="s">
        <v>2</v>
      </c>
      <c r="S1" s="111"/>
    </row>
    <row r="2" spans="1:23" ht="20.149999999999999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36" t="s">
        <v>3</v>
      </c>
      <c r="R2" s="112" t="s">
        <v>4</v>
      </c>
      <c r="S2" s="112"/>
    </row>
    <row r="3" spans="1:23" ht="20.149999999999999" customHeight="1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37" t="s">
        <v>5</v>
      </c>
      <c r="R3" s="113" t="s">
        <v>6</v>
      </c>
      <c r="S3" s="113"/>
    </row>
    <row r="4" spans="1:23" ht="20.149999999999999" customHeight="1">
      <c r="A4" s="115" t="s">
        <v>7</v>
      </c>
      <c r="B4" s="115" t="s">
        <v>8</v>
      </c>
      <c r="C4" s="115" t="s">
        <v>9</v>
      </c>
      <c r="D4" s="115" t="s">
        <v>10</v>
      </c>
      <c r="E4" s="115" t="s">
        <v>11</v>
      </c>
      <c r="F4" s="115" t="s">
        <v>12</v>
      </c>
      <c r="G4" s="115" t="s">
        <v>13</v>
      </c>
      <c r="H4" s="114" t="s">
        <v>14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</row>
    <row r="5" spans="1:23" ht="33" customHeight="1">
      <c r="A5" s="115"/>
      <c r="B5" s="115"/>
      <c r="C5" s="115"/>
      <c r="D5" s="115"/>
      <c r="E5" s="115"/>
      <c r="F5" s="115"/>
      <c r="G5" s="115"/>
      <c r="H5" s="4" t="s">
        <v>408</v>
      </c>
      <c r="I5" s="4" t="s">
        <v>409</v>
      </c>
      <c r="J5" s="4" t="s">
        <v>410</v>
      </c>
      <c r="K5" s="4" t="s">
        <v>411</v>
      </c>
      <c r="L5" s="4" t="s">
        <v>412</v>
      </c>
      <c r="M5" s="4" t="s">
        <v>413</v>
      </c>
      <c r="N5" s="4" t="s">
        <v>414</v>
      </c>
      <c r="O5" s="4" t="s">
        <v>415</v>
      </c>
      <c r="P5" s="4" t="s">
        <v>416</v>
      </c>
      <c r="Q5" s="4" t="s">
        <v>417</v>
      </c>
      <c r="R5" s="4" t="s">
        <v>418</v>
      </c>
      <c r="S5" s="4" t="s">
        <v>419</v>
      </c>
      <c r="T5" s="150" t="s">
        <v>492</v>
      </c>
    </row>
    <row r="6" spans="1:23" s="1" customFormat="1" ht="40" customHeight="1">
      <c r="A6" s="5">
        <v>1</v>
      </c>
      <c r="B6" s="118" t="s">
        <v>28</v>
      </c>
      <c r="C6" s="7" t="s">
        <v>29</v>
      </c>
      <c r="D6" s="8" t="s">
        <v>30</v>
      </c>
      <c r="E6" s="9" t="s">
        <v>31</v>
      </c>
      <c r="F6" s="10" t="s">
        <v>32</v>
      </c>
      <c r="G6" s="8" t="s">
        <v>33</v>
      </c>
      <c r="H6" s="11">
        <v>45767</v>
      </c>
      <c r="I6" s="12" t="s">
        <v>420</v>
      </c>
      <c r="J6" s="14"/>
      <c r="K6" s="14"/>
      <c r="L6" s="14"/>
      <c r="M6" s="17">
        <v>45921</v>
      </c>
      <c r="N6" s="11">
        <v>45931</v>
      </c>
      <c r="O6" s="11">
        <v>45970</v>
      </c>
      <c r="P6" s="76">
        <v>45998</v>
      </c>
      <c r="Q6" s="11" t="s">
        <v>474</v>
      </c>
      <c r="R6" s="19"/>
      <c r="S6" s="136">
        <v>46103</v>
      </c>
      <c r="T6" s="147">
        <f>COUNTA(H6:S6)/12</f>
        <v>0.66666666666666663</v>
      </c>
      <c r="U6" s="142"/>
      <c r="V6" s="39"/>
      <c r="W6" s="40"/>
    </row>
    <row r="7" spans="1:23" s="1" customFormat="1" ht="40" customHeight="1">
      <c r="A7" s="5">
        <v>2</v>
      </c>
      <c r="B7" s="118"/>
      <c r="C7" s="7" t="s">
        <v>42</v>
      </c>
      <c r="D7" s="8" t="s">
        <v>30</v>
      </c>
      <c r="E7" s="9" t="s">
        <v>43</v>
      </c>
      <c r="F7" s="10" t="s">
        <v>44</v>
      </c>
      <c r="G7" s="8" t="s">
        <v>33</v>
      </c>
      <c r="H7" s="12">
        <v>45760</v>
      </c>
      <c r="I7" s="14"/>
      <c r="J7" s="19"/>
      <c r="K7" s="14"/>
      <c r="L7" s="12" t="s">
        <v>421</v>
      </c>
      <c r="M7" s="14"/>
      <c r="N7" s="14"/>
      <c r="O7" s="11">
        <v>45970</v>
      </c>
      <c r="P7" s="76">
        <v>46005</v>
      </c>
      <c r="Q7" s="11" t="s">
        <v>475</v>
      </c>
      <c r="R7" s="14"/>
      <c r="S7" s="139"/>
      <c r="T7" s="147">
        <f>COUNTA(H7:S7)/12</f>
        <v>0.41666666666666669</v>
      </c>
      <c r="V7" s="41"/>
      <c r="W7" s="40"/>
    </row>
    <row r="8" spans="1:23" s="1" customFormat="1" ht="40" customHeight="1">
      <c r="A8" s="5">
        <v>3</v>
      </c>
      <c r="B8" s="118"/>
      <c r="C8" s="7" t="s">
        <v>49</v>
      </c>
      <c r="D8" s="8" t="s">
        <v>30</v>
      </c>
      <c r="E8" s="9" t="s">
        <v>50</v>
      </c>
      <c r="F8" s="10" t="s">
        <v>51</v>
      </c>
      <c r="G8" s="9" t="s">
        <v>33</v>
      </c>
      <c r="H8" s="13"/>
      <c r="I8" s="14"/>
      <c r="J8" s="19"/>
      <c r="K8" s="12" t="s">
        <v>422</v>
      </c>
      <c r="L8" s="14"/>
      <c r="M8" s="11">
        <v>45901</v>
      </c>
      <c r="N8" s="14"/>
      <c r="O8" s="11">
        <v>45977</v>
      </c>
      <c r="P8" s="76">
        <v>46012</v>
      </c>
      <c r="Q8" s="76">
        <v>46034</v>
      </c>
      <c r="R8" s="74">
        <v>46068</v>
      </c>
      <c r="S8" s="137"/>
      <c r="T8" s="147">
        <f>COUNTA(H8:S8)/12</f>
        <v>0.5</v>
      </c>
      <c r="V8" s="39"/>
      <c r="W8" s="40"/>
    </row>
    <row r="9" spans="1:23" s="1" customFormat="1" ht="40" customHeight="1">
      <c r="A9" s="5">
        <v>4</v>
      </c>
      <c r="B9" s="118"/>
      <c r="C9" s="7" t="s">
        <v>56</v>
      </c>
      <c r="D9" s="8" t="s">
        <v>30</v>
      </c>
      <c r="E9" s="9" t="s">
        <v>57</v>
      </c>
      <c r="F9" s="10" t="s">
        <v>58</v>
      </c>
      <c r="G9" s="9" t="s">
        <v>33</v>
      </c>
      <c r="H9" s="13"/>
      <c r="I9" s="12" t="s">
        <v>423</v>
      </c>
      <c r="J9" s="14"/>
      <c r="K9" s="12" t="s">
        <v>424</v>
      </c>
      <c r="L9" s="14"/>
      <c r="M9" s="11">
        <v>45914</v>
      </c>
      <c r="N9" s="14"/>
      <c r="O9" s="76">
        <v>45977</v>
      </c>
      <c r="P9" s="11">
        <v>45997</v>
      </c>
      <c r="Q9" s="74">
        <v>46047</v>
      </c>
      <c r="R9" s="14" t="s">
        <v>477</v>
      </c>
      <c r="S9" s="136">
        <v>46082</v>
      </c>
      <c r="T9" s="147">
        <f t="shared" ref="T9:T54" si="0">COUNTA(H9:S9)/12</f>
        <v>0.66666666666666663</v>
      </c>
      <c r="V9" s="41"/>
      <c r="W9" s="40"/>
    </row>
    <row r="10" spans="1:23" s="1" customFormat="1" ht="40" customHeight="1">
      <c r="A10" s="5">
        <v>5</v>
      </c>
      <c r="B10" s="118"/>
      <c r="C10" s="7" t="s">
        <v>65</v>
      </c>
      <c r="D10" s="8" t="s">
        <v>30</v>
      </c>
      <c r="E10" s="9" t="s">
        <v>66</v>
      </c>
      <c r="F10" s="10" t="s">
        <v>67</v>
      </c>
      <c r="G10" s="9" t="s">
        <v>33</v>
      </c>
      <c r="H10" s="12" t="s">
        <v>425</v>
      </c>
      <c r="I10" s="14"/>
      <c r="J10" s="14"/>
      <c r="K10" s="12" t="s">
        <v>426</v>
      </c>
      <c r="L10" s="12" t="s">
        <v>427</v>
      </c>
      <c r="M10" s="11">
        <v>45921</v>
      </c>
      <c r="N10" s="14"/>
      <c r="O10" s="11">
        <v>45970</v>
      </c>
      <c r="P10" s="76">
        <v>46005</v>
      </c>
      <c r="Q10" s="11">
        <v>46026</v>
      </c>
      <c r="R10" s="75">
        <v>46054</v>
      </c>
      <c r="S10" s="137"/>
      <c r="T10" s="147">
        <f t="shared" si="0"/>
        <v>0.66666666666666663</v>
      </c>
      <c r="V10" s="41"/>
      <c r="W10" s="40"/>
    </row>
    <row r="11" spans="1:23" s="1" customFormat="1" ht="40" customHeight="1">
      <c r="A11" s="5">
        <v>6</v>
      </c>
      <c r="B11" s="118"/>
      <c r="C11" s="7" t="s">
        <v>71</v>
      </c>
      <c r="D11" s="8" t="s">
        <v>30</v>
      </c>
      <c r="E11" s="9" t="s">
        <v>72</v>
      </c>
      <c r="F11" s="10" t="s">
        <v>73</v>
      </c>
      <c r="G11" s="9" t="s">
        <v>74</v>
      </c>
      <c r="H11" s="14"/>
      <c r="I11" s="14"/>
      <c r="J11" s="19"/>
      <c r="K11" s="14"/>
      <c r="L11" s="19"/>
      <c r="M11" s="17">
        <v>45903</v>
      </c>
      <c r="N11" s="14"/>
      <c r="O11" s="76">
        <v>45977</v>
      </c>
      <c r="P11" s="76">
        <v>46012</v>
      </c>
      <c r="Q11" s="76">
        <v>46040</v>
      </c>
      <c r="R11" s="14"/>
      <c r="S11" s="137"/>
      <c r="T11" s="147">
        <f t="shared" si="0"/>
        <v>0.33333333333333331</v>
      </c>
      <c r="V11" s="39"/>
      <c r="W11" s="40"/>
    </row>
    <row r="12" spans="1:23" s="1" customFormat="1" ht="49.5" customHeight="1">
      <c r="A12" s="5">
        <v>7</v>
      </c>
      <c r="B12" s="118"/>
      <c r="C12" s="7" t="s">
        <v>81</v>
      </c>
      <c r="D12" s="8" t="s">
        <v>30</v>
      </c>
      <c r="E12" s="9" t="s">
        <v>82</v>
      </c>
      <c r="F12" s="10" t="s">
        <v>83</v>
      </c>
      <c r="G12" s="8" t="s">
        <v>33</v>
      </c>
      <c r="H12" s="15"/>
      <c r="I12" s="20" t="s">
        <v>428</v>
      </c>
      <c r="J12" s="15"/>
      <c r="K12" s="17">
        <v>45853</v>
      </c>
      <c r="L12" s="27">
        <v>45878</v>
      </c>
      <c r="M12" s="15"/>
      <c r="N12" s="17">
        <v>45934</v>
      </c>
      <c r="O12" s="17">
        <v>45972</v>
      </c>
      <c r="P12" s="75">
        <v>45994</v>
      </c>
      <c r="Q12" s="77">
        <v>46026</v>
      </c>
      <c r="R12" s="18"/>
      <c r="S12" s="136">
        <v>46095</v>
      </c>
      <c r="T12" s="147">
        <f t="shared" si="0"/>
        <v>0.66666666666666663</v>
      </c>
      <c r="V12" s="39"/>
      <c r="W12" s="40"/>
    </row>
    <row r="13" spans="1:23" s="1" customFormat="1" ht="40" customHeight="1">
      <c r="A13" s="5">
        <v>8</v>
      </c>
      <c r="B13" s="118"/>
      <c r="C13" s="16" t="s">
        <v>429</v>
      </c>
      <c r="D13" s="8" t="s">
        <v>30</v>
      </c>
      <c r="E13" s="9" t="s">
        <v>31</v>
      </c>
      <c r="F13" s="10" t="s">
        <v>93</v>
      </c>
      <c r="G13" s="9" t="s">
        <v>94</v>
      </c>
      <c r="H13" s="17">
        <v>45754</v>
      </c>
      <c r="I13" s="19"/>
      <c r="J13" s="11">
        <v>45823</v>
      </c>
      <c r="K13" s="19"/>
      <c r="L13" s="11">
        <v>45897</v>
      </c>
      <c r="M13" s="11">
        <v>45929</v>
      </c>
      <c r="N13" s="14"/>
      <c r="O13" s="77">
        <v>45970</v>
      </c>
      <c r="P13" s="76">
        <v>45997</v>
      </c>
      <c r="Q13" s="76">
        <v>46027</v>
      </c>
      <c r="R13" s="19"/>
      <c r="S13" s="138">
        <v>46094</v>
      </c>
      <c r="T13" s="147">
        <f t="shared" si="0"/>
        <v>0.66666666666666663</v>
      </c>
      <c r="V13" s="39"/>
      <c r="W13" s="40"/>
    </row>
    <row r="14" spans="1:23" s="1" customFormat="1" ht="60" customHeight="1">
      <c r="A14" s="5">
        <v>9</v>
      </c>
      <c r="B14" s="119" t="s">
        <v>105</v>
      </c>
      <c r="C14" s="7" t="s">
        <v>106</v>
      </c>
      <c r="D14" s="8" t="s">
        <v>30</v>
      </c>
      <c r="E14" s="9" t="s">
        <v>107</v>
      </c>
      <c r="F14" s="10" t="s">
        <v>67</v>
      </c>
      <c r="G14" s="9" t="s">
        <v>33</v>
      </c>
      <c r="H14" s="12" t="s">
        <v>431</v>
      </c>
      <c r="I14" s="14"/>
      <c r="J14" s="14"/>
      <c r="K14" s="24" t="s">
        <v>430</v>
      </c>
      <c r="L14" s="14"/>
      <c r="M14" s="14"/>
      <c r="N14" s="14"/>
      <c r="O14" s="11">
        <v>45963</v>
      </c>
      <c r="P14" s="76">
        <v>46008</v>
      </c>
      <c r="Q14" s="74">
        <v>46041</v>
      </c>
      <c r="R14" s="19"/>
      <c r="S14" s="139"/>
      <c r="T14" s="147">
        <f t="shared" si="0"/>
        <v>0.41666666666666669</v>
      </c>
      <c r="V14" s="39"/>
      <c r="W14" s="40"/>
    </row>
    <row r="15" spans="1:23" s="1" customFormat="1" ht="51" customHeight="1">
      <c r="A15" s="5">
        <v>10</v>
      </c>
      <c r="B15" s="119"/>
      <c r="C15" s="7" t="s">
        <v>114</v>
      </c>
      <c r="D15" s="8" t="s">
        <v>30</v>
      </c>
      <c r="E15" s="9" t="s">
        <v>115</v>
      </c>
      <c r="F15" s="10" t="s">
        <v>116</v>
      </c>
      <c r="G15" s="9" t="s">
        <v>33</v>
      </c>
      <c r="H15" s="14"/>
      <c r="I15" s="14"/>
      <c r="J15" s="14"/>
      <c r="K15" s="24" t="s">
        <v>430</v>
      </c>
      <c r="L15" s="14"/>
      <c r="M15" s="14"/>
      <c r="N15" s="11">
        <v>45941</v>
      </c>
      <c r="O15" s="14"/>
      <c r="P15" s="77">
        <v>46363</v>
      </c>
      <c r="Q15" s="76">
        <v>46042</v>
      </c>
      <c r="R15" s="19"/>
      <c r="S15" s="139"/>
      <c r="T15" s="147">
        <f t="shared" si="0"/>
        <v>0.33333333333333331</v>
      </c>
      <c r="V15" s="43"/>
      <c r="W15" s="40"/>
    </row>
    <row r="16" spans="1:23" s="1" customFormat="1" ht="40" customHeight="1">
      <c r="A16" s="5">
        <v>11</v>
      </c>
      <c r="B16" s="119"/>
      <c r="C16" s="7" t="s">
        <v>118</v>
      </c>
      <c r="D16" s="8" t="s">
        <v>30</v>
      </c>
      <c r="E16" s="9" t="s">
        <v>119</v>
      </c>
      <c r="F16" s="10" t="s">
        <v>120</v>
      </c>
      <c r="G16" s="9" t="s">
        <v>33</v>
      </c>
      <c r="H16" s="13"/>
      <c r="I16" s="14"/>
      <c r="J16" s="14"/>
      <c r="K16" s="14"/>
      <c r="L16" s="14"/>
      <c r="M16" s="14"/>
      <c r="N16" s="11">
        <v>45941</v>
      </c>
      <c r="O16" s="14"/>
      <c r="P16" s="76">
        <v>46363</v>
      </c>
      <c r="Q16" s="76">
        <v>46042</v>
      </c>
      <c r="R16" s="14"/>
      <c r="S16" s="137"/>
      <c r="T16" s="147">
        <f t="shared" si="0"/>
        <v>0.25</v>
      </c>
      <c r="V16" s="44"/>
      <c r="W16" s="40"/>
    </row>
    <row r="17" spans="1:1023" s="1" customFormat="1" ht="52" customHeight="1">
      <c r="A17" s="5">
        <v>12</v>
      </c>
      <c r="B17" s="120" t="s">
        <v>125</v>
      </c>
      <c r="C17" s="7" t="s">
        <v>126</v>
      </c>
      <c r="D17" s="8" t="s">
        <v>30</v>
      </c>
      <c r="E17" s="9" t="s">
        <v>127</v>
      </c>
      <c r="F17" s="10" t="s">
        <v>83</v>
      </c>
      <c r="G17" s="9" t="s">
        <v>33</v>
      </c>
      <c r="H17" s="19"/>
      <c r="I17" s="19"/>
      <c r="J17" s="14"/>
      <c r="K17" s="17">
        <v>45857</v>
      </c>
      <c r="L17" s="19"/>
      <c r="M17" s="11">
        <v>45906</v>
      </c>
      <c r="N17" s="14"/>
      <c r="O17" s="11">
        <v>45962</v>
      </c>
      <c r="P17" s="79"/>
      <c r="Q17" s="76">
        <v>46044</v>
      </c>
      <c r="R17" s="74">
        <v>46055</v>
      </c>
      <c r="S17" s="140"/>
      <c r="T17" s="147">
        <f t="shared" si="0"/>
        <v>0.41666666666666669</v>
      </c>
      <c r="V17" s="44"/>
      <c r="W17" s="40"/>
      <c r="AMI17"/>
    </row>
    <row r="18" spans="1:1023" s="1" customFormat="1" ht="40" customHeight="1">
      <c r="A18" s="5">
        <v>13</v>
      </c>
      <c r="B18" s="120"/>
      <c r="C18" s="7" t="s">
        <v>137</v>
      </c>
      <c r="D18" s="8" t="s">
        <v>30</v>
      </c>
      <c r="E18" s="9" t="s">
        <v>138</v>
      </c>
      <c r="F18" s="10" t="s">
        <v>139</v>
      </c>
      <c r="G18" s="9" t="s">
        <v>33</v>
      </c>
      <c r="H18" s="19"/>
      <c r="I18" s="19"/>
      <c r="J18" s="14"/>
      <c r="K18" s="19"/>
      <c r="L18" s="14"/>
      <c r="M18" s="14"/>
      <c r="N18" s="14"/>
      <c r="O18" s="14"/>
      <c r="P18" s="76">
        <v>40909</v>
      </c>
      <c r="Q18" s="77">
        <v>46028</v>
      </c>
      <c r="R18" s="77">
        <v>46057</v>
      </c>
      <c r="S18" s="137"/>
      <c r="T18" s="147">
        <f t="shared" si="0"/>
        <v>0.25</v>
      </c>
      <c r="V18" s="44"/>
      <c r="W18" s="40"/>
    </row>
    <row r="19" spans="1:1023" s="1" customFormat="1" ht="40" customHeight="1">
      <c r="A19" s="5">
        <v>14</v>
      </c>
      <c r="B19" s="120"/>
      <c r="C19" s="7" t="s">
        <v>146</v>
      </c>
      <c r="D19" s="8" t="s">
        <v>30</v>
      </c>
      <c r="E19" s="9" t="s">
        <v>147</v>
      </c>
      <c r="F19" s="10" t="s">
        <v>116</v>
      </c>
      <c r="G19" s="9" t="s">
        <v>33</v>
      </c>
      <c r="H19" s="20" t="s">
        <v>432</v>
      </c>
      <c r="I19" s="12" t="s">
        <v>433</v>
      </c>
      <c r="J19" s="12" t="s">
        <v>434</v>
      </c>
      <c r="K19" s="14"/>
      <c r="L19" s="19"/>
      <c r="M19" s="14"/>
      <c r="N19" s="14"/>
      <c r="O19" s="11">
        <v>45969</v>
      </c>
      <c r="P19" s="76">
        <v>45993</v>
      </c>
      <c r="Q19" s="11">
        <v>46025</v>
      </c>
      <c r="R19" s="75">
        <v>46057</v>
      </c>
      <c r="S19" s="141"/>
      <c r="T19" s="147">
        <f t="shared" si="0"/>
        <v>0.58333333333333337</v>
      </c>
      <c r="V19" s="45"/>
      <c r="W19" s="45"/>
    </row>
    <row r="20" spans="1:1023" s="1" customFormat="1" ht="40" customHeight="1">
      <c r="A20" s="5">
        <v>15</v>
      </c>
      <c r="B20" s="120"/>
      <c r="C20" s="7" t="s">
        <v>155</v>
      </c>
      <c r="D20" s="8" t="s">
        <v>30</v>
      </c>
      <c r="E20" s="9" t="s">
        <v>156</v>
      </c>
      <c r="F20" s="10" t="s">
        <v>157</v>
      </c>
      <c r="G20" s="9" t="s">
        <v>33</v>
      </c>
      <c r="H20" s="17">
        <v>45762</v>
      </c>
      <c r="I20" s="28" t="s">
        <v>435</v>
      </c>
      <c r="J20" s="12" t="s">
        <v>436</v>
      </c>
      <c r="K20" s="14"/>
      <c r="L20" s="19"/>
      <c r="M20" s="19"/>
      <c r="N20" s="11">
        <v>45933</v>
      </c>
      <c r="O20" s="11">
        <v>45979</v>
      </c>
      <c r="P20" s="14"/>
      <c r="Q20" s="76">
        <v>46027</v>
      </c>
      <c r="R20" s="74">
        <v>46061</v>
      </c>
      <c r="S20" s="139"/>
      <c r="T20" s="147">
        <f t="shared" si="0"/>
        <v>0.58333333333333337</v>
      </c>
      <c r="V20" s="45"/>
      <c r="W20" s="45"/>
    </row>
    <row r="21" spans="1:1023" s="1" customFormat="1" ht="40" customHeight="1">
      <c r="A21" s="5">
        <v>16</v>
      </c>
      <c r="B21" s="121" t="s">
        <v>164</v>
      </c>
      <c r="C21" s="7" t="s">
        <v>165</v>
      </c>
      <c r="D21" s="8" t="s">
        <v>30</v>
      </c>
      <c r="E21" s="9" t="s">
        <v>166</v>
      </c>
      <c r="F21" s="10" t="s">
        <v>67</v>
      </c>
      <c r="G21" s="9" t="s">
        <v>33</v>
      </c>
      <c r="H21" s="12" t="s">
        <v>437</v>
      </c>
      <c r="I21" s="12" t="s">
        <v>438</v>
      </c>
      <c r="J21" s="12" t="s">
        <v>439</v>
      </c>
      <c r="K21" s="14"/>
      <c r="L21" s="12" t="s">
        <v>440</v>
      </c>
      <c r="M21" s="11">
        <v>45912</v>
      </c>
      <c r="N21" s="11">
        <v>45940</v>
      </c>
      <c r="O21" s="11">
        <v>45964</v>
      </c>
      <c r="P21" s="11">
        <v>45993</v>
      </c>
      <c r="Q21" s="74">
        <v>46029</v>
      </c>
      <c r="R21" s="19"/>
      <c r="S21" s="136">
        <v>46091</v>
      </c>
      <c r="T21" s="147">
        <f t="shared" si="0"/>
        <v>0.83333333333333337</v>
      </c>
      <c r="V21" s="45"/>
      <c r="W21" s="45"/>
    </row>
    <row r="22" spans="1:1023" s="1" customFormat="1" ht="40" customHeight="1">
      <c r="A22" s="5">
        <v>17</v>
      </c>
      <c r="B22" s="121"/>
      <c r="C22" s="7" t="s">
        <v>176</v>
      </c>
      <c r="D22" s="8" t="s">
        <v>30</v>
      </c>
      <c r="E22" s="9" t="s">
        <v>177</v>
      </c>
      <c r="F22" s="10" t="s">
        <v>120</v>
      </c>
      <c r="G22" s="9" t="s">
        <v>33</v>
      </c>
      <c r="H22" s="19"/>
      <c r="I22" s="12" t="s">
        <v>441</v>
      </c>
      <c r="J22" s="14"/>
      <c r="K22" s="14"/>
      <c r="L22" s="12" t="s">
        <v>442</v>
      </c>
      <c r="M22" s="14"/>
      <c r="N22" s="14"/>
      <c r="O22" s="11">
        <v>45962</v>
      </c>
      <c r="P22" s="11">
        <v>45994</v>
      </c>
      <c r="Q22" s="11">
        <v>46025</v>
      </c>
      <c r="R22" s="14"/>
      <c r="S22" s="136">
        <v>46087</v>
      </c>
      <c r="T22" s="147">
        <f t="shared" si="0"/>
        <v>0.5</v>
      </c>
      <c r="V22" s="45"/>
      <c r="W22" s="45"/>
    </row>
    <row r="23" spans="1:1023" s="1" customFormat="1" ht="40" customHeight="1">
      <c r="A23" s="5">
        <v>18</v>
      </c>
      <c r="B23" s="121"/>
      <c r="C23" s="7" t="s">
        <v>186</v>
      </c>
      <c r="D23" s="8" t="s">
        <v>30</v>
      </c>
      <c r="E23" s="9" t="s">
        <v>187</v>
      </c>
      <c r="F23" s="10" t="s">
        <v>120</v>
      </c>
      <c r="G23" s="9" t="s">
        <v>33</v>
      </c>
      <c r="H23" s="12" t="s">
        <v>443</v>
      </c>
      <c r="I23" s="20" t="s">
        <v>444</v>
      </c>
      <c r="J23" s="14"/>
      <c r="K23" s="12" t="s">
        <v>445</v>
      </c>
      <c r="L23" s="12" t="s">
        <v>446</v>
      </c>
      <c r="M23" s="11">
        <v>45919</v>
      </c>
      <c r="N23" s="17">
        <v>45938</v>
      </c>
      <c r="O23" s="17">
        <v>45967</v>
      </c>
      <c r="P23" s="17">
        <v>46004</v>
      </c>
      <c r="Q23" s="17">
        <v>46038</v>
      </c>
      <c r="R23" s="75">
        <v>46069</v>
      </c>
      <c r="S23" s="136">
        <v>46085</v>
      </c>
      <c r="T23" s="147">
        <f t="shared" si="0"/>
        <v>0.91666666666666663</v>
      </c>
      <c r="V23" s="45"/>
      <c r="W23" s="45"/>
    </row>
    <row r="24" spans="1:1023" s="1" customFormat="1" ht="50.15" customHeight="1">
      <c r="A24" s="5">
        <v>19</v>
      </c>
      <c r="B24" s="121"/>
      <c r="C24" s="7" t="s">
        <v>189</v>
      </c>
      <c r="D24" s="8" t="s">
        <v>30</v>
      </c>
      <c r="E24" s="9" t="s">
        <v>190</v>
      </c>
      <c r="F24" s="10" t="s">
        <v>83</v>
      </c>
      <c r="G24" s="9" t="s">
        <v>33</v>
      </c>
      <c r="H24" s="20" t="s">
        <v>447</v>
      </c>
      <c r="I24" s="19"/>
      <c r="J24" s="14"/>
      <c r="K24" s="12" t="s">
        <v>445</v>
      </c>
      <c r="L24" s="14"/>
      <c r="M24" s="14"/>
      <c r="N24" s="14"/>
      <c r="O24" s="11">
        <v>45969</v>
      </c>
      <c r="P24" s="11">
        <v>45992</v>
      </c>
      <c r="Q24" s="76">
        <v>46037</v>
      </c>
      <c r="R24" s="78"/>
      <c r="S24" s="137"/>
      <c r="T24" s="147">
        <f t="shared" si="0"/>
        <v>0.41666666666666669</v>
      </c>
      <c r="V24" s="45"/>
      <c r="W24" s="45"/>
    </row>
    <row r="25" spans="1:1023" s="1" customFormat="1" ht="50.15" customHeight="1">
      <c r="A25" s="5">
        <v>20</v>
      </c>
      <c r="B25" s="121"/>
      <c r="C25" s="7" t="s">
        <v>192</v>
      </c>
      <c r="D25" s="8" t="s">
        <v>30</v>
      </c>
      <c r="E25" s="9" t="s">
        <v>193</v>
      </c>
      <c r="F25" s="10" t="s">
        <v>194</v>
      </c>
      <c r="G25" s="9" t="s">
        <v>195</v>
      </c>
      <c r="H25" s="12" t="s">
        <v>432</v>
      </c>
      <c r="I25" s="19"/>
      <c r="J25" s="12" t="s">
        <v>448</v>
      </c>
      <c r="K25" s="12" t="s">
        <v>449</v>
      </c>
      <c r="L25" s="12" t="s">
        <v>450</v>
      </c>
      <c r="M25" s="11">
        <v>45917</v>
      </c>
      <c r="N25" s="14"/>
      <c r="O25" s="11">
        <v>45980</v>
      </c>
      <c r="P25" s="17">
        <v>45995</v>
      </c>
      <c r="Q25" s="74">
        <v>46039</v>
      </c>
      <c r="R25" s="74">
        <v>46066</v>
      </c>
      <c r="S25" s="136">
        <v>46088</v>
      </c>
      <c r="T25" s="147">
        <f t="shared" si="0"/>
        <v>0.83333333333333337</v>
      </c>
      <c r="V25" s="45"/>
      <c r="W25" s="45"/>
    </row>
    <row r="26" spans="1:1023" s="1" customFormat="1" ht="40" customHeight="1">
      <c r="A26" s="5">
        <v>21</v>
      </c>
      <c r="B26" s="121"/>
      <c r="C26" s="7" t="s">
        <v>198</v>
      </c>
      <c r="D26" s="8" t="s">
        <v>30</v>
      </c>
      <c r="E26" s="9" t="s">
        <v>199</v>
      </c>
      <c r="F26" s="10" t="s">
        <v>200</v>
      </c>
      <c r="G26" s="9" t="s">
        <v>195</v>
      </c>
      <c r="H26" s="14"/>
      <c r="I26" s="19"/>
      <c r="J26" s="12" t="s">
        <v>451</v>
      </c>
      <c r="K26" s="12" t="s">
        <v>452</v>
      </c>
      <c r="L26" s="14"/>
      <c r="M26" s="11">
        <v>45913</v>
      </c>
      <c r="N26" s="11">
        <v>45941</v>
      </c>
      <c r="O26" s="19"/>
      <c r="P26" s="17">
        <v>45992</v>
      </c>
      <c r="Q26" s="74">
        <v>46058</v>
      </c>
      <c r="R26" s="74">
        <v>46058</v>
      </c>
      <c r="S26" s="137"/>
      <c r="T26" s="147">
        <f t="shared" si="0"/>
        <v>0.58333333333333337</v>
      </c>
      <c r="V26" s="45"/>
      <c r="W26" s="45"/>
    </row>
    <row r="27" spans="1:1023" s="1" customFormat="1" ht="40" customHeight="1">
      <c r="A27" s="5">
        <v>22</v>
      </c>
      <c r="B27" s="121"/>
      <c r="C27" s="7" t="s">
        <v>207</v>
      </c>
      <c r="D27" s="8" t="s">
        <v>30</v>
      </c>
      <c r="E27" s="9" t="s">
        <v>208</v>
      </c>
      <c r="F27" s="10" t="s">
        <v>209</v>
      </c>
      <c r="G27" s="9" t="s">
        <v>195</v>
      </c>
      <c r="H27" s="20" t="s">
        <v>447</v>
      </c>
      <c r="I27" s="20" t="s">
        <v>453</v>
      </c>
      <c r="J27" s="14"/>
      <c r="K27" s="20" t="s">
        <v>454</v>
      </c>
      <c r="L27" s="19"/>
      <c r="M27" s="11">
        <v>45915</v>
      </c>
      <c r="N27" s="11">
        <v>45939</v>
      </c>
      <c r="O27" s="17">
        <v>45975</v>
      </c>
      <c r="P27" s="11">
        <v>46001</v>
      </c>
      <c r="Q27" s="74" t="s">
        <v>455</v>
      </c>
      <c r="R27" s="14"/>
      <c r="S27" s="139"/>
      <c r="T27" s="147">
        <f t="shared" si="0"/>
        <v>0.66666666666666663</v>
      </c>
      <c r="AMF27"/>
      <c r="AMG27"/>
      <c r="AMH27"/>
      <c r="AMI27"/>
    </row>
    <row r="28" spans="1:1023" s="1" customFormat="1" ht="40" customHeight="1">
      <c r="A28" s="5">
        <v>23</v>
      </c>
      <c r="B28" s="122" t="s">
        <v>214</v>
      </c>
      <c r="C28" s="7" t="s">
        <v>215</v>
      </c>
      <c r="D28" s="8" t="s">
        <v>30</v>
      </c>
      <c r="E28" s="9" t="s">
        <v>216</v>
      </c>
      <c r="F28" s="10" t="s">
        <v>116</v>
      </c>
      <c r="G28" s="9" t="s">
        <v>33</v>
      </c>
      <c r="H28" s="14"/>
      <c r="I28" s="17">
        <v>45780</v>
      </c>
      <c r="J28" s="19"/>
      <c r="K28" s="14"/>
      <c r="L28" s="19"/>
      <c r="M28" s="11">
        <v>45915</v>
      </c>
      <c r="N28" s="14"/>
      <c r="O28" s="76">
        <v>45976</v>
      </c>
      <c r="P28" s="76">
        <v>46014</v>
      </c>
      <c r="Q28" s="76">
        <v>46038</v>
      </c>
      <c r="R28" s="14"/>
      <c r="S28" s="139"/>
      <c r="T28" s="147">
        <f t="shared" si="0"/>
        <v>0.41666666666666669</v>
      </c>
    </row>
    <row r="29" spans="1:1023" s="1" customFormat="1" ht="40" customHeight="1">
      <c r="A29" s="5">
        <v>24</v>
      </c>
      <c r="B29" s="122"/>
      <c r="C29" s="7" t="s">
        <v>218</v>
      </c>
      <c r="D29" s="8" t="s">
        <v>30</v>
      </c>
      <c r="E29" s="9" t="s">
        <v>219</v>
      </c>
      <c r="F29" s="10" t="s">
        <v>120</v>
      </c>
      <c r="G29" s="9" t="s">
        <v>33</v>
      </c>
      <c r="H29" s="19"/>
      <c r="I29" s="20" t="s">
        <v>456</v>
      </c>
      <c r="J29" s="14"/>
      <c r="K29" s="12" t="s">
        <v>457</v>
      </c>
      <c r="L29" s="14"/>
      <c r="M29" s="14"/>
      <c r="N29" s="14"/>
      <c r="O29" s="11">
        <v>45966</v>
      </c>
      <c r="P29" s="76">
        <v>46010</v>
      </c>
      <c r="Q29" s="76">
        <v>46044</v>
      </c>
      <c r="R29" s="75">
        <v>46063</v>
      </c>
      <c r="S29" s="138">
        <v>46101</v>
      </c>
      <c r="T29" s="147">
        <f t="shared" si="0"/>
        <v>0.58333333333333337</v>
      </c>
    </row>
    <row r="30" spans="1:1023" s="1" customFormat="1" ht="40" customHeight="1">
      <c r="A30" s="5">
        <v>25</v>
      </c>
      <c r="B30" s="122"/>
      <c r="C30" s="7" t="s">
        <v>227</v>
      </c>
      <c r="D30" s="8" t="s">
        <v>30</v>
      </c>
      <c r="E30" s="9" t="s">
        <v>228</v>
      </c>
      <c r="F30" s="10" t="s">
        <v>120</v>
      </c>
      <c r="G30" s="9" t="s">
        <v>33</v>
      </c>
      <c r="H30" s="19"/>
      <c r="I30" s="20" t="s">
        <v>438</v>
      </c>
      <c r="J30" s="14"/>
      <c r="K30" s="19"/>
      <c r="L30" s="14"/>
      <c r="M30" s="11">
        <v>45916</v>
      </c>
      <c r="N30" s="14"/>
      <c r="O30" s="77">
        <v>45971</v>
      </c>
      <c r="P30" s="77">
        <v>46015</v>
      </c>
      <c r="Q30" s="77">
        <v>46046</v>
      </c>
      <c r="R30" s="19"/>
      <c r="S30" s="138">
        <v>46090</v>
      </c>
      <c r="T30" s="147">
        <f t="shared" si="0"/>
        <v>0.5</v>
      </c>
    </row>
    <row r="31" spans="1:1023" s="1" customFormat="1" ht="40" customHeight="1">
      <c r="A31" s="5">
        <v>26</v>
      </c>
      <c r="B31" s="122"/>
      <c r="C31" s="7" t="s">
        <v>233</v>
      </c>
      <c r="D31" s="8" t="s">
        <v>30</v>
      </c>
      <c r="E31" s="9" t="s">
        <v>234</v>
      </c>
      <c r="F31" s="10" t="s">
        <v>116</v>
      </c>
      <c r="G31" s="9" t="s">
        <v>33</v>
      </c>
      <c r="H31" s="19"/>
      <c r="I31" s="12" t="s">
        <v>423</v>
      </c>
      <c r="J31" s="14"/>
      <c r="K31" s="20" t="s">
        <v>454</v>
      </c>
      <c r="L31" s="14"/>
      <c r="M31" s="14"/>
      <c r="N31" s="14"/>
      <c r="O31" s="19"/>
      <c r="P31" s="17">
        <v>45996</v>
      </c>
      <c r="Q31" s="77">
        <v>46049</v>
      </c>
      <c r="R31" s="19"/>
      <c r="S31" s="139"/>
      <c r="T31" s="147">
        <f t="shared" si="0"/>
        <v>0.33333333333333331</v>
      </c>
    </row>
    <row r="32" spans="1:1023" s="1" customFormat="1" ht="40" customHeight="1">
      <c r="A32" s="5">
        <v>27</v>
      </c>
      <c r="B32" s="122"/>
      <c r="C32" s="7" t="s">
        <v>238</v>
      </c>
      <c r="D32" s="8" t="s">
        <v>30</v>
      </c>
      <c r="E32" s="9" t="s">
        <v>239</v>
      </c>
      <c r="F32" s="10" t="s">
        <v>240</v>
      </c>
      <c r="G32" s="9" t="s">
        <v>33</v>
      </c>
      <c r="H32" s="19"/>
      <c r="I32" s="19"/>
      <c r="J32" s="19"/>
      <c r="K32" s="19"/>
      <c r="L32" s="14"/>
      <c r="M32" s="17">
        <v>45916</v>
      </c>
      <c r="N32" s="14"/>
      <c r="O32" s="17">
        <v>45964</v>
      </c>
      <c r="P32" s="14"/>
      <c r="Q32" s="77">
        <v>46049</v>
      </c>
      <c r="R32" s="19"/>
      <c r="S32" s="139"/>
      <c r="T32" s="147">
        <f t="shared" si="0"/>
        <v>0.25</v>
      </c>
    </row>
    <row r="33" spans="1:20" s="1" customFormat="1" ht="40" customHeight="1">
      <c r="A33" s="5">
        <v>28</v>
      </c>
      <c r="B33" s="122"/>
      <c r="C33" s="7" t="s">
        <v>244</v>
      </c>
      <c r="D33" s="8" t="s">
        <v>30</v>
      </c>
      <c r="E33" s="9" t="s">
        <v>245</v>
      </c>
      <c r="F33" s="10" t="s">
        <v>83</v>
      </c>
      <c r="G33" s="9" t="s">
        <v>33</v>
      </c>
      <c r="H33" s="20" t="s">
        <v>431</v>
      </c>
      <c r="I33" s="12" t="s">
        <v>458</v>
      </c>
      <c r="J33" s="14"/>
      <c r="K33" s="14"/>
      <c r="L33" s="19"/>
      <c r="M33" s="19"/>
      <c r="N33" s="14"/>
      <c r="O33" s="17">
        <v>45988</v>
      </c>
      <c r="P33" s="76">
        <v>46017</v>
      </c>
      <c r="Q33" s="74">
        <v>46028</v>
      </c>
      <c r="R33" s="14"/>
      <c r="S33" s="139"/>
      <c r="T33" s="147">
        <f t="shared" si="0"/>
        <v>0.41666666666666669</v>
      </c>
    </row>
    <row r="34" spans="1:20" s="1" customFormat="1" ht="40" customHeight="1">
      <c r="A34" s="5">
        <v>29</v>
      </c>
      <c r="B34" s="122"/>
      <c r="C34" s="7" t="s">
        <v>459</v>
      </c>
      <c r="D34" s="8" t="s">
        <v>30</v>
      </c>
      <c r="E34" s="9" t="s">
        <v>460</v>
      </c>
      <c r="F34" s="10"/>
      <c r="G34" s="9" t="s">
        <v>195</v>
      </c>
      <c r="H34" s="21"/>
      <c r="I34" s="30"/>
      <c r="J34" s="14"/>
      <c r="K34" s="86">
        <v>45853</v>
      </c>
      <c r="L34" s="87">
        <v>45886</v>
      </c>
      <c r="M34" s="87">
        <v>45921</v>
      </c>
      <c r="N34" s="86">
        <v>45941</v>
      </c>
      <c r="O34" s="87">
        <v>45965</v>
      </c>
      <c r="P34" s="11">
        <v>46002</v>
      </c>
      <c r="Q34" s="74">
        <v>46040</v>
      </c>
      <c r="R34" s="74">
        <v>46071</v>
      </c>
      <c r="S34" s="139"/>
      <c r="T34" s="147">
        <f t="shared" si="0"/>
        <v>0.66666666666666663</v>
      </c>
    </row>
    <row r="35" spans="1:20" s="1" customFormat="1" ht="40" customHeight="1">
      <c r="A35" s="5">
        <v>30</v>
      </c>
      <c r="B35" s="122"/>
      <c r="C35" s="7" t="s">
        <v>461</v>
      </c>
      <c r="D35" s="8" t="s">
        <v>30</v>
      </c>
      <c r="E35" s="9" t="s">
        <v>249</v>
      </c>
      <c r="F35" s="10" t="s">
        <v>250</v>
      </c>
      <c r="G35" s="9" t="s">
        <v>33</v>
      </c>
      <c r="H35" s="19"/>
      <c r="I35" s="20" t="s">
        <v>428</v>
      </c>
      <c r="J35" s="14"/>
      <c r="K35" s="20" t="s">
        <v>462</v>
      </c>
      <c r="L35" s="14"/>
      <c r="M35" s="19"/>
      <c r="N35" s="14"/>
      <c r="O35" s="19"/>
      <c r="P35" s="77">
        <v>45998</v>
      </c>
      <c r="Q35" s="77">
        <v>46036</v>
      </c>
      <c r="R35" s="19"/>
      <c r="S35" s="139"/>
      <c r="T35" s="147">
        <f t="shared" si="0"/>
        <v>0.33333333333333331</v>
      </c>
    </row>
    <row r="36" spans="1:20" s="1" customFormat="1" ht="40" customHeight="1">
      <c r="A36" s="5">
        <v>31</v>
      </c>
      <c r="B36" s="117" t="s">
        <v>255</v>
      </c>
      <c r="C36" s="7" t="s">
        <v>256</v>
      </c>
      <c r="D36" s="8" t="s">
        <v>30</v>
      </c>
      <c r="E36" s="9" t="s">
        <v>257</v>
      </c>
      <c r="F36" s="10" t="s">
        <v>258</v>
      </c>
      <c r="G36" s="9" t="s">
        <v>33</v>
      </c>
      <c r="H36" s="19"/>
      <c r="I36" s="20" t="s">
        <v>463</v>
      </c>
      <c r="J36" s="19"/>
      <c r="K36" s="21"/>
      <c r="L36" s="20" t="s">
        <v>464</v>
      </c>
      <c r="M36" s="11">
        <v>45925</v>
      </c>
      <c r="N36" s="14"/>
      <c r="O36" s="29" t="s">
        <v>465</v>
      </c>
      <c r="P36" s="77">
        <v>46019</v>
      </c>
      <c r="Q36" s="77">
        <v>46052</v>
      </c>
      <c r="R36" s="75">
        <v>46058</v>
      </c>
      <c r="S36" s="138">
        <v>46085</v>
      </c>
      <c r="T36" s="147">
        <f t="shared" si="0"/>
        <v>0.66666666666666663</v>
      </c>
    </row>
    <row r="37" spans="1:20" s="1" customFormat="1" ht="40" customHeight="1">
      <c r="A37" s="5">
        <v>32</v>
      </c>
      <c r="B37" s="117"/>
      <c r="C37" s="7" t="s">
        <v>264</v>
      </c>
      <c r="D37" s="8" t="s">
        <v>30</v>
      </c>
      <c r="E37" s="9" t="s">
        <v>265</v>
      </c>
      <c r="F37" s="10" t="s">
        <v>240</v>
      </c>
      <c r="G37" s="9" t="s">
        <v>33</v>
      </c>
      <c r="H37" s="19"/>
      <c r="I37" s="20" t="s">
        <v>466</v>
      </c>
      <c r="J37" s="19"/>
      <c r="K37" s="14"/>
      <c r="L37" s="12" t="s">
        <v>467</v>
      </c>
      <c r="M37" s="17">
        <v>45905</v>
      </c>
      <c r="N37" s="14"/>
      <c r="O37" s="17">
        <v>45984</v>
      </c>
      <c r="P37" s="76">
        <v>46006</v>
      </c>
      <c r="Q37" s="17">
        <v>46026</v>
      </c>
      <c r="R37" s="75">
        <v>46062</v>
      </c>
      <c r="S37" s="136">
        <v>46086</v>
      </c>
      <c r="T37" s="147">
        <f t="shared" si="0"/>
        <v>0.66666666666666663</v>
      </c>
    </row>
    <row r="38" spans="1:20" s="1" customFormat="1" ht="40" customHeight="1">
      <c r="A38" s="5">
        <v>33</v>
      </c>
      <c r="B38" s="117"/>
      <c r="C38" s="7" t="s">
        <v>268</v>
      </c>
      <c r="D38" s="8" t="s">
        <v>30</v>
      </c>
      <c r="E38" s="9" t="s">
        <v>269</v>
      </c>
      <c r="F38" s="10" t="s">
        <v>270</v>
      </c>
      <c r="G38" s="9" t="s">
        <v>33</v>
      </c>
      <c r="H38" s="12" t="s">
        <v>468</v>
      </c>
      <c r="I38" s="19"/>
      <c r="J38" s="19"/>
      <c r="K38" s="14"/>
      <c r="L38" s="12" t="s">
        <v>469</v>
      </c>
      <c r="M38" s="17">
        <v>45906</v>
      </c>
      <c r="N38" s="19"/>
      <c r="O38" s="76">
        <v>45963</v>
      </c>
      <c r="P38" s="11">
        <v>45995</v>
      </c>
      <c r="Q38" s="11">
        <v>46024</v>
      </c>
      <c r="R38" s="75">
        <v>46060</v>
      </c>
      <c r="S38" s="136">
        <v>46089</v>
      </c>
      <c r="T38" s="147">
        <f t="shared" si="0"/>
        <v>0.66666666666666663</v>
      </c>
    </row>
    <row r="39" spans="1:20" s="1" customFormat="1" ht="40" customHeight="1">
      <c r="A39" s="5">
        <v>34</v>
      </c>
      <c r="B39" s="117" t="s">
        <v>272</v>
      </c>
      <c r="C39" s="7" t="s">
        <v>273</v>
      </c>
      <c r="D39" s="8" t="s">
        <v>30</v>
      </c>
      <c r="E39" s="9" t="s">
        <v>274</v>
      </c>
      <c r="F39" s="10" t="s">
        <v>67</v>
      </c>
      <c r="G39" s="9" t="s">
        <v>33</v>
      </c>
      <c r="H39" s="20" t="s">
        <v>470</v>
      </c>
      <c r="I39" s="19"/>
      <c r="J39" s="19"/>
      <c r="K39" s="19"/>
      <c r="L39" s="14"/>
      <c r="M39" s="17">
        <v>45902</v>
      </c>
      <c r="N39" s="14"/>
      <c r="O39" s="77">
        <v>45964</v>
      </c>
      <c r="P39" s="76">
        <v>45999</v>
      </c>
      <c r="Q39" s="76">
        <v>46030</v>
      </c>
      <c r="R39" s="19"/>
      <c r="S39" s="137"/>
      <c r="T39" s="147">
        <f t="shared" si="0"/>
        <v>0.41666666666666669</v>
      </c>
    </row>
    <row r="40" spans="1:20" s="1" customFormat="1" ht="40" customHeight="1">
      <c r="A40" s="5">
        <v>35</v>
      </c>
      <c r="B40" s="117"/>
      <c r="C40" s="7" t="s">
        <v>276</v>
      </c>
      <c r="D40" s="8" t="s">
        <v>30</v>
      </c>
      <c r="E40" s="9" t="s">
        <v>277</v>
      </c>
      <c r="F40" s="10" t="s">
        <v>67</v>
      </c>
      <c r="G40" s="9" t="s">
        <v>33</v>
      </c>
      <c r="H40" s="14"/>
      <c r="I40" s="14"/>
      <c r="J40" s="19"/>
      <c r="K40" s="19"/>
      <c r="L40" s="14"/>
      <c r="M40" s="11">
        <v>45904</v>
      </c>
      <c r="N40" s="19"/>
      <c r="O40" s="76">
        <v>45966</v>
      </c>
      <c r="P40" s="77">
        <v>46000</v>
      </c>
      <c r="Q40" s="74" t="s">
        <v>471</v>
      </c>
      <c r="R40" s="14"/>
      <c r="S40" s="138">
        <v>46099</v>
      </c>
      <c r="T40" s="147">
        <f t="shared" si="0"/>
        <v>0.41666666666666669</v>
      </c>
    </row>
    <row r="41" spans="1:20" s="1" customFormat="1" ht="40" customHeight="1">
      <c r="A41" s="5">
        <v>36</v>
      </c>
      <c r="B41" s="117"/>
      <c r="C41" s="7" t="s">
        <v>280</v>
      </c>
      <c r="D41" s="8" t="s">
        <v>30</v>
      </c>
      <c r="E41" s="9" t="s">
        <v>281</v>
      </c>
      <c r="F41" s="10" t="s">
        <v>282</v>
      </c>
      <c r="G41" s="9" t="s">
        <v>33</v>
      </c>
      <c r="H41" s="20" t="s">
        <v>432</v>
      </c>
      <c r="I41" s="14"/>
      <c r="J41" s="19"/>
      <c r="K41" s="19"/>
      <c r="L41" s="14"/>
      <c r="M41" s="19"/>
      <c r="N41" s="14"/>
      <c r="O41" s="76">
        <v>45962</v>
      </c>
      <c r="P41" s="11">
        <v>46000</v>
      </c>
      <c r="Q41" s="76">
        <v>46024</v>
      </c>
      <c r="R41" s="14"/>
      <c r="S41" s="139"/>
      <c r="T41" s="147">
        <f t="shared" si="0"/>
        <v>0.33333333333333331</v>
      </c>
    </row>
    <row r="42" spans="1:20" s="1" customFormat="1" ht="40" customHeight="1">
      <c r="A42" s="5">
        <v>37</v>
      </c>
      <c r="B42" s="117"/>
      <c r="C42" s="7" t="s">
        <v>286</v>
      </c>
      <c r="D42" s="8" t="s">
        <v>30</v>
      </c>
      <c r="E42" s="9" t="s">
        <v>287</v>
      </c>
      <c r="F42" s="10"/>
      <c r="G42" s="9" t="s">
        <v>94</v>
      </c>
      <c r="H42" s="23"/>
      <c r="I42" s="31"/>
      <c r="J42" s="31"/>
      <c r="K42" s="23"/>
      <c r="L42" s="32">
        <v>45878</v>
      </c>
      <c r="M42" s="23"/>
      <c r="N42" s="33">
        <v>45944</v>
      </c>
      <c r="O42" s="84">
        <v>45991</v>
      </c>
      <c r="P42" s="84">
        <v>46019</v>
      </c>
      <c r="Q42" s="84">
        <v>46052</v>
      </c>
      <c r="R42" s="31"/>
      <c r="S42" s="143"/>
      <c r="T42" s="147">
        <f t="shared" si="0"/>
        <v>0.41666666666666669</v>
      </c>
    </row>
    <row r="43" spans="1:20" s="1" customFormat="1" ht="40" customHeight="1">
      <c r="A43" s="5">
        <v>38</v>
      </c>
      <c r="B43" s="117" t="s">
        <v>288</v>
      </c>
      <c r="C43" s="7" t="s">
        <v>289</v>
      </c>
      <c r="D43" s="8" t="s">
        <v>30</v>
      </c>
      <c r="E43" s="9" t="s">
        <v>257</v>
      </c>
      <c r="F43" s="10" t="s">
        <v>472</v>
      </c>
      <c r="G43" s="9" t="s">
        <v>195</v>
      </c>
      <c r="H43" s="19"/>
      <c r="I43" s="14"/>
      <c r="J43" s="19"/>
      <c r="K43" s="20" t="s">
        <v>457</v>
      </c>
      <c r="L43" s="78"/>
      <c r="M43" s="19"/>
      <c r="N43" s="14"/>
      <c r="O43" s="11">
        <v>45973</v>
      </c>
      <c r="P43" s="14"/>
      <c r="Q43" s="11">
        <v>46027</v>
      </c>
      <c r="R43" s="14"/>
      <c r="S43" s="139"/>
      <c r="T43" s="147">
        <f t="shared" si="0"/>
        <v>0.25</v>
      </c>
    </row>
    <row r="44" spans="1:20" s="1" customFormat="1" ht="40" customHeight="1">
      <c r="A44" s="5">
        <v>39</v>
      </c>
      <c r="B44" s="117"/>
      <c r="C44" s="7" t="s">
        <v>291</v>
      </c>
      <c r="D44" s="8" t="s">
        <v>30</v>
      </c>
      <c r="E44" s="9" t="s">
        <v>292</v>
      </c>
      <c r="F44" s="10" t="s">
        <v>139</v>
      </c>
      <c r="G44" s="9" t="s">
        <v>33</v>
      </c>
      <c r="H44" s="20" t="s">
        <v>437</v>
      </c>
      <c r="I44" s="14"/>
      <c r="J44" s="17">
        <v>45831</v>
      </c>
      <c r="K44" s="19"/>
      <c r="L44" s="11">
        <v>45871</v>
      </c>
      <c r="M44" s="19"/>
      <c r="N44" s="14"/>
      <c r="O44" s="11">
        <v>45973</v>
      </c>
      <c r="P44" s="76">
        <v>46018</v>
      </c>
      <c r="Q44" s="76">
        <v>46028</v>
      </c>
      <c r="R44" s="14"/>
      <c r="S44" s="138">
        <v>46083</v>
      </c>
      <c r="T44" s="147">
        <f t="shared" si="0"/>
        <v>0.58333333333333337</v>
      </c>
    </row>
    <row r="45" spans="1:20" s="1" customFormat="1" ht="40" customHeight="1">
      <c r="A45" s="5">
        <v>40</v>
      </c>
      <c r="B45" s="117"/>
      <c r="C45" s="16" t="s">
        <v>295</v>
      </c>
      <c r="D45" s="8" t="s">
        <v>30</v>
      </c>
      <c r="E45" s="9" t="s">
        <v>265</v>
      </c>
      <c r="F45" s="10" t="s">
        <v>93</v>
      </c>
      <c r="G45" s="9" t="s">
        <v>195</v>
      </c>
      <c r="H45" s="17">
        <v>45765</v>
      </c>
      <c r="I45" s="15"/>
      <c r="J45" s="15"/>
      <c r="K45" s="15"/>
      <c r="L45" s="15"/>
      <c r="M45" s="15"/>
      <c r="N45" s="18"/>
      <c r="O45" s="80">
        <v>45971</v>
      </c>
      <c r="P45" s="80">
        <v>46018</v>
      </c>
      <c r="Q45" s="80">
        <v>46029</v>
      </c>
      <c r="R45" s="18"/>
      <c r="S45" s="136">
        <v>46083</v>
      </c>
      <c r="T45" s="147">
        <f t="shared" si="0"/>
        <v>0.41666666666666669</v>
      </c>
    </row>
    <row r="46" spans="1:20" s="1" customFormat="1" ht="40" customHeight="1">
      <c r="A46" s="5">
        <v>41</v>
      </c>
      <c r="B46" s="127" t="s">
        <v>305</v>
      </c>
      <c r="C46" s="7" t="s">
        <v>299</v>
      </c>
      <c r="D46" s="8"/>
      <c r="E46" s="9" t="s">
        <v>257</v>
      </c>
      <c r="F46" s="10"/>
      <c r="G46" s="9"/>
      <c r="H46" s="24" t="s">
        <v>437</v>
      </c>
      <c r="I46" s="18"/>
      <c r="J46" s="15"/>
      <c r="K46" s="15"/>
      <c r="L46" s="18"/>
      <c r="M46" s="15"/>
      <c r="N46" s="18"/>
      <c r="O46" s="81">
        <v>45965</v>
      </c>
      <c r="P46" s="17">
        <v>46003</v>
      </c>
      <c r="Q46" s="81">
        <v>46026</v>
      </c>
      <c r="R46" s="15"/>
      <c r="S46" s="144"/>
      <c r="T46" s="147">
        <f t="shared" si="0"/>
        <v>0.33333333333333331</v>
      </c>
    </row>
    <row r="47" spans="1:20" s="1" customFormat="1" ht="40" customHeight="1">
      <c r="A47" s="5">
        <v>42</v>
      </c>
      <c r="B47" s="128"/>
      <c r="C47" s="7" t="s">
        <v>306</v>
      </c>
      <c r="D47" s="8" t="s">
        <v>30</v>
      </c>
      <c r="E47" s="9" t="s">
        <v>292</v>
      </c>
      <c r="F47" s="10" t="s">
        <v>307</v>
      </c>
      <c r="G47" s="9" t="s">
        <v>195</v>
      </c>
      <c r="H47" s="18"/>
      <c r="I47" s="15"/>
      <c r="J47" s="18"/>
      <c r="K47" s="18"/>
      <c r="L47" s="15"/>
      <c r="M47" s="34">
        <v>45912</v>
      </c>
      <c r="N47" s="18"/>
      <c r="O47" s="81">
        <v>45962</v>
      </c>
      <c r="P47" s="17">
        <v>46004</v>
      </c>
      <c r="Q47" s="81">
        <v>46035</v>
      </c>
      <c r="R47" s="18"/>
      <c r="S47" s="144"/>
      <c r="T47" s="147">
        <f t="shared" si="0"/>
        <v>0.33333333333333331</v>
      </c>
    </row>
    <row r="48" spans="1:20" s="1" customFormat="1" ht="40" customHeight="1">
      <c r="A48" s="5">
        <v>43</v>
      </c>
      <c r="B48" s="128"/>
      <c r="C48" s="16" t="s">
        <v>308</v>
      </c>
      <c r="D48" s="8" t="s">
        <v>30</v>
      </c>
      <c r="E48" s="9" t="s">
        <v>265</v>
      </c>
      <c r="F48" s="10" t="s">
        <v>139</v>
      </c>
      <c r="G48" s="9" t="s">
        <v>33</v>
      </c>
      <c r="H48" s="18"/>
      <c r="I48" s="18"/>
      <c r="J48" s="18"/>
      <c r="K48" s="35" t="s">
        <v>457</v>
      </c>
      <c r="L48" s="18"/>
      <c r="M48" s="18"/>
      <c r="N48" s="14"/>
      <c r="O48" s="80">
        <v>45991</v>
      </c>
      <c r="P48" s="80">
        <v>46019</v>
      </c>
      <c r="Q48" s="80">
        <v>46052</v>
      </c>
      <c r="R48" s="18"/>
      <c r="S48" s="144"/>
      <c r="T48" s="147">
        <f t="shared" si="0"/>
        <v>0.33333333333333331</v>
      </c>
    </row>
    <row r="49" spans="1:20" s="1" customFormat="1" ht="40" customHeight="1">
      <c r="A49" s="5">
        <v>44</v>
      </c>
      <c r="B49" s="129"/>
      <c r="C49" s="16" t="s">
        <v>310</v>
      </c>
      <c r="D49" s="8" t="s">
        <v>30</v>
      </c>
      <c r="E49" s="9" t="s">
        <v>269</v>
      </c>
      <c r="F49" s="10" t="s">
        <v>139</v>
      </c>
      <c r="G49" s="9" t="s">
        <v>33</v>
      </c>
      <c r="H49" s="18"/>
      <c r="I49" s="15"/>
      <c r="J49" s="18"/>
      <c r="K49" s="35" t="s">
        <v>457</v>
      </c>
      <c r="L49" s="15"/>
      <c r="M49" s="15"/>
      <c r="N49" s="18"/>
      <c r="O49" s="80">
        <v>45991</v>
      </c>
      <c r="P49" s="80">
        <v>46019</v>
      </c>
      <c r="Q49" s="80">
        <v>46052</v>
      </c>
      <c r="R49" s="18"/>
      <c r="S49" s="144"/>
      <c r="T49" s="147">
        <f t="shared" si="0"/>
        <v>0.33333333333333331</v>
      </c>
    </row>
    <row r="50" spans="1:20" s="1" customFormat="1" ht="33">
      <c r="A50" s="5">
        <v>45</v>
      </c>
      <c r="B50" s="25" t="s">
        <v>473</v>
      </c>
      <c r="C50" s="7" t="s">
        <v>314</v>
      </c>
      <c r="D50" s="8" t="s">
        <v>30</v>
      </c>
      <c r="E50" s="9" t="s">
        <v>315</v>
      </c>
      <c r="F50" s="10" t="s">
        <v>139</v>
      </c>
      <c r="G50" s="9" t="s">
        <v>195</v>
      </c>
      <c r="H50" s="18"/>
      <c r="I50" s="15"/>
      <c r="J50" s="18"/>
      <c r="K50" s="18"/>
      <c r="L50" s="18"/>
      <c r="M50" s="34">
        <v>45918</v>
      </c>
      <c r="N50" s="18"/>
      <c r="O50" s="34">
        <v>45977</v>
      </c>
      <c r="P50" s="80">
        <v>46020</v>
      </c>
      <c r="Q50" s="80">
        <v>46052</v>
      </c>
      <c r="R50" s="18"/>
      <c r="S50" s="144"/>
      <c r="T50" s="147">
        <f t="shared" si="0"/>
        <v>0.33333333333333331</v>
      </c>
    </row>
    <row r="51" spans="1:20" s="1" customFormat="1" ht="40" customHeight="1">
      <c r="A51" s="5">
        <v>46</v>
      </c>
      <c r="B51" s="26"/>
      <c r="C51" s="82" t="s">
        <v>476</v>
      </c>
      <c r="D51" s="8" t="s">
        <v>30</v>
      </c>
      <c r="E51" s="9" t="s">
        <v>318</v>
      </c>
      <c r="F51" s="10"/>
      <c r="G51" s="9" t="s">
        <v>33</v>
      </c>
      <c r="H51" s="18"/>
      <c r="I51" s="18"/>
      <c r="J51" s="17">
        <v>45818</v>
      </c>
      <c r="K51" s="15"/>
      <c r="L51" s="17">
        <v>45885</v>
      </c>
      <c r="M51" s="15"/>
      <c r="N51" s="18"/>
      <c r="O51" s="27">
        <v>45965</v>
      </c>
      <c r="P51" s="80">
        <v>46018</v>
      </c>
      <c r="Q51" s="80">
        <v>46051</v>
      </c>
      <c r="R51" s="18"/>
      <c r="S51" s="144"/>
      <c r="T51" s="147">
        <f t="shared" si="0"/>
        <v>0.41666666666666669</v>
      </c>
    </row>
    <row r="52" spans="1:20" s="1" customFormat="1" ht="52" customHeight="1">
      <c r="A52" s="5">
        <v>47</v>
      </c>
      <c r="B52" s="26"/>
      <c r="C52" s="7" t="s">
        <v>320</v>
      </c>
      <c r="D52" s="8" t="s">
        <v>30</v>
      </c>
      <c r="E52" s="9" t="s">
        <v>321</v>
      </c>
      <c r="F52" s="10" t="s">
        <v>322</v>
      </c>
      <c r="G52" s="9" t="s">
        <v>33</v>
      </c>
      <c r="H52" s="18"/>
      <c r="I52" s="18"/>
      <c r="J52" s="18"/>
      <c r="K52" s="17">
        <v>45850</v>
      </c>
      <c r="L52" s="15"/>
      <c r="M52" s="18"/>
      <c r="N52" s="18"/>
      <c r="O52" s="83">
        <v>45965</v>
      </c>
      <c r="P52" s="80">
        <v>46020</v>
      </c>
      <c r="Q52" s="81">
        <v>46052</v>
      </c>
      <c r="R52" s="15"/>
      <c r="S52" s="144"/>
      <c r="T52" s="147">
        <f t="shared" si="0"/>
        <v>0.33333333333333331</v>
      </c>
    </row>
    <row r="53" spans="1:20" s="1" customFormat="1" ht="40" customHeight="1">
      <c r="A53" s="5">
        <v>48</v>
      </c>
      <c r="B53" s="26"/>
      <c r="C53" s="7" t="s">
        <v>327</v>
      </c>
      <c r="D53" s="8" t="s">
        <v>30</v>
      </c>
      <c r="E53" s="9" t="s">
        <v>328</v>
      </c>
      <c r="F53" s="10" t="s">
        <v>322</v>
      </c>
      <c r="G53" s="9" t="s">
        <v>33</v>
      </c>
      <c r="H53" s="17">
        <v>45759</v>
      </c>
      <c r="I53" s="19"/>
      <c r="J53" s="17">
        <v>45812</v>
      </c>
      <c r="K53" s="19"/>
      <c r="L53" s="17">
        <v>45878</v>
      </c>
      <c r="M53" s="17">
        <v>45910</v>
      </c>
      <c r="N53" s="11">
        <v>45933</v>
      </c>
      <c r="O53" s="81">
        <v>45967</v>
      </c>
      <c r="P53" s="80">
        <v>46018</v>
      </c>
      <c r="Q53" s="81">
        <v>46051</v>
      </c>
      <c r="R53" s="18"/>
      <c r="S53" s="144"/>
      <c r="T53" s="147">
        <f t="shared" si="0"/>
        <v>0.66666666666666663</v>
      </c>
    </row>
    <row r="54" spans="1:20" s="1" customFormat="1" ht="40" customHeight="1">
      <c r="A54" s="5">
        <v>49</v>
      </c>
      <c r="B54" s="26"/>
      <c r="C54" s="7" t="s">
        <v>330</v>
      </c>
      <c r="D54" s="8" t="s">
        <v>30</v>
      </c>
      <c r="E54" s="9" t="s">
        <v>331</v>
      </c>
      <c r="F54" s="10" t="s">
        <v>322</v>
      </c>
      <c r="G54" s="9" t="s">
        <v>33</v>
      </c>
      <c r="H54" s="130">
        <v>45759</v>
      </c>
      <c r="I54" s="131"/>
      <c r="J54" s="132">
        <v>45812</v>
      </c>
      <c r="K54" s="131"/>
      <c r="L54" s="130">
        <v>45878</v>
      </c>
      <c r="M54" s="132">
        <v>45910</v>
      </c>
      <c r="N54" s="130">
        <v>45933</v>
      </c>
      <c r="O54" s="133">
        <v>45967</v>
      </c>
      <c r="P54" s="134">
        <v>46018</v>
      </c>
      <c r="Q54" s="133">
        <v>46051</v>
      </c>
      <c r="R54" s="135"/>
      <c r="S54" s="46"/>
      <c r="T54" s="148">
        <f t="shared" si="0"/>
        <v>0.66666666666666663</v>
      </c>
    </row>
    <row r="55" spans="1:20" s="1" customFormat="1" ht="40" customHeight="1">
      <c r="A55" s="5"/>
      <c r="B55" s="26"/>
      <c r="C55" s="7"/>
      <c r="D55" s="8"/>
      <c r="E55" s="9" t="s">
        <v>491</v>
      </c>
      <c r="F55" s="10"/>
      <c r="G55" s="9"/>
      <c r="H55" s="145">
        <f>COUNTA(H7:H54) / ROWS(H7:H54)</f>
        <v>0.41666666666666669</v>
      </c>
      <c r="I55" s="145">
        <f t="shared" ref="I55:S55" si="1">COUNTA(I7:I54) / ROWS(I7:I54)</f>
        <v>0.33333333333333331</v>
      </c>
      <c r="J55" s="145">
        <f t="shared" si="1"/>
        <v>0.20833333333333334</v>
      </c>
      <c r="K55" s="145">
        <f t="shared" si="1"/>
        <v>0.41666666666666669</v>
      </c>
      <c r="L55" s="145">
        <f t="shared" si="1"/>
        <v>0.35416666666666669</v>
      </c>
      <c r="M55" s="145">
        <f t="shared" si="1"/>
        <v>0.5</v>
      </c>
      <c r="N55" s="145">
        <f t="shared" si="1"/>
        <v>0.25</v>
      </c>
      <c r="O55" s="145">
        <f t="shared" si="1"/>
        <v>0.875</v>
      </c>
      <c r="P55" s="145">
        <f t="shared" si="1"/>
        <v>0.91666666666666663</v>
      </c>
      <c r="Q55" s="145">
        <f t="shared" si="1"/>
        <v>1</v>
      </c>
      <c r="R55" s="145">
        <f t="shared" si="1"/>
        <v>0.3125</v>
      </c>
      <c r="S55" s="145">
        <f t="shared" si="1"/>
        <v>0.3125</v>
      </c>
      <c r="T55" s="147">
        <f>AVERAGE(T6:T54)</f>
        <v>0.49489795918367346</v>
      </c>
    </row>
    <row r="56" spans="1:20" s="1" customFormat="1" ht="39" customHeight="1">
      <c r="A56" s="125" t="s">
        <v>332</v>
      </c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49"/>
    </row>
    <row r="57" spans="1:20" s="1" customFormat="1" ht="36" customHeight="1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49"/>
    </row>
    <row r="58" spans="1:20" s="1" customFormat="1" ht="57" customHeight="1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49"/>
    </row>
    <row r="59" spans="1:20" ht="10.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</row>
    <row r="60" spans="1:20" ht="10.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</row>
    <row r="61" spans="1:20" ht="10.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</row>
    <row r="62" spans="1:20" ht="10.5" customHeight="1">
      <c r="A62" s="115" t="s">
        <v>333</v>
      </c>
      <c r="B62" s="115"/>
      <c r="C62" s="123" t="s">
        <v>334</v>
      </c>
      <c r="D62" s="123"/>
      <c r="E62" s="123"/>
      <c r="F62" s="123"/>
      <c r="G62" s="123"/>
      <c r="H62" s="115"/>
      <c r="I62" s="115"/>
      <c r="J62" s="115"/>
      <c r="K62" s="115"/>
      <c r="L62" s="115"/>
      <c r="M62" s="124" t="s">
        <v>335</v>
      </c>
      <c r="N62" s="124"/>
      <c r="O62" s="124"/>
      <c r="P62" s="124"/>
      <c r="Q62" s="124"/>
      <c r="R62" s="124"/>
      <c r="S62" s="124"/>
    </row>
    <row r="63" spans="1:20" ht="10.5" customHeight="1">
      <c r="A63" s="115"/>
      <c r="B63" s="115"/>
      <c r="C63" s="123"/>
      <c r="D63" s="123"/>
      <c r="E63" s="123"/>
      <c r="F63" s="123"/>
      <c r="G63" s="123"/>
      <c r="H63" s="115"/>
      <c r="I63" s="115"/>
      <c r="J63" s="115"/>
      <c r="K63" s="115"/>
      <c r="L63" s="115"/>
      <c r="M63" s="124"/>
      <c r="N63" s="124"/>
      <c r="O63" s="124"/>
      <c r="P63" s="124"/>
      <c r="Q63" s="124"/>
      <c r="R63" s="124"/>
      <c r="S63" s="124"/>
    </row>
    <row r="68" spans="4:8">
      <c r="E68" s="47"/>
      <c r="F68" s="47"/>
      <c r="G68" s="47"/>
      <c r="H68" s="48"/>
    </row>
    <row r="69" spans="4:8">
      <c r="D69" s="47"/>
      <c r="E69" s="47"/>
      <c r="F69" s="47"/>
      <c r="G69" s="47"/>
      <c r="H69" s="48"/>
    </row>
    <row r="70" spans="4:8" ht="14.5">
      <c r="D70" s="47"/>
      <c r="E70" s="49"/>
      <c r="F70" s="50"/>
      <c r="G70" s="47"/>
      <c r="H70" s="48"/>
    </row>
    <row r="71" spans="4:8" ht="14.5">
      <c r="D71" s="47"/>
      <c r="E71" s="51"/>
      <c r="F71" s="50"/>
      <c r="G71" s="47"/>
      <c r="H71" s="48"/>
    </row>
    <row r="72" spans="4:8" ht="14.5">
      <c r="D72" s="47"/>
      <c r="E72" s="49"/>
      <c r="F72" s="50"/>
      <c r="G72" s="47"/>
      <c r="H72" s="48"/>
    </row>
    <row r="73" spans="4:8" ht="14.5">
      <c r="D73" s="47"/>
      <c r="E73" s="49"/>
      <c r="F73" s="50"/>
      <c r="G73" s="47"/>
      <c r="H73" s="48"/>
    </row>
    <row r="74" spans="4:8" ht="14.5">
      <c r="D74" s="47"/>
      <c r="E74" s="49"/>
      <c r="F74" s="50"/>
      <c r="G74" s="47"/>
      <c r="H74" s="48"/>
    </row>
    <row r="75" spans="4:8" ht="14.5">
      <c r="D75" s="47"/>
      <c r="E75" s="49"/>
      <c r="F75" s="50"/>
      <c r="G75" s="47"/>
      <c r="H75" s="48"/>
    </row>
    <row r="76" spans="4:8" ht="14.5">
      <c r="D76" s="47"/>
      <c r="E76" s="49"/>
      <c r="F76" s="47"/>
      <c r="G76" s="47"/>
      <c r="H76" s="48"/>
    </row>
    <row r="77" spans="4:8">
      <c r="D77" s="47"/>
      <c r="E77" s="52"/>
      <c r="F77" s="50"/>
      <c r="G77" s="47"/>
      <c r="H77" s="48"/>
    </row>
    <row r="78" spans="4:8">
      <c r="D78" s="47"/>
      <c r="E78" s="52"/>
      <c r="F78" s="50"/>
      <c r="G78" s="47"/>
      <c r="H78" s="48"/>
    </row>
    <row r="79" spans="4:8" ht="14.5">
      <c r="D79" s="47"/>
      <c r="E79" s="49"/>
      <c r="F79" s="50"/>
      <c r="G79" s="47"/>
      <c r="H79" s="48"/>
    </row>
    <row r="80" spans="4:8" ht="14.5">
      <c r="D80" s="47"/>
      <c r="E80" s="49"/>
      <c r="F80" s="50"/>
      <c r="G80" s="47"/>
      <c r="H80" s="48"/>
    </row>
    <row r="81" spans="4:8" ht="14.5">
      <c r="D81" s="47"/>
      <c r="E81" s="49"/>
      <c r="F81" s="50"/>
      <c r="G81" s="47"/>
      <c r="H81" s="48"/>
    </row>
    <row r="82" spans="4:8" ht="14.5">
      <c r="D82" s="47"/>
      <c r="E82" s="49"/>
      <c r="F82" s="50"/>
      <c r="G82" s="47"/>
      <c r="H82" s="48"/>
    </row>
    <row r="83" spans="4:8" ht="14.5">
      <c r="D83" s="47"/>
      <c r="E83" s="49"/>
      <c r="F83" s="50"/>
      <c r="G83" s="47"/>
      <c r="H83" s="48"/>
    </row>
    <row r="84" spans="4:8" ht="14.5">
      <c r="D84" s="47"/>
      <c r="E84" s="49"/>
      <c r="F84" s="50"/>
      <c r="G84" s="47"/>
      <c r="H84" s="48"/>
    </row>
    <row r="85" spans="4:8" ht="14.5">
      <c r="D85" s="47"/>
      <c r="E85" s="49"/>
      <c r="F85" s="50"/>
      <c r="G85" s="47"/>
      <c r="H85" s="48"/>
    </row>
    <row r="86" spans="4:8" ht="14.5">
      <c r="D86" s="47"/>
      <c r="E86" s="49"/>
      <c r="F86" s="50"/>
      <c r="G86" s="47"/>
      <c r="H86" s="48"/>
    </row>
    <row r="87" spans="4:8">
      <c r="D87" s="47"/>
      <c r="E87" s="47"/>
      <c r="F87" s="47"/>
      <c r="G87" s="47"/>
      <c r="H87" s="48"/>
    </row>
    <row r="88" spans="4:8">
      <c r="D88" s="47"/>
      <c r="E88" s="47"/>
      <c r="F88" s="47"/>
      <c r="G88" s="47"/>
      <c r="H88" s="48"/>
    </row>
  </sheetData>
  <mergeCells count="27">
    <mergeCell ref="A62:B63"/>
    <mergeCell ref="C62:G63"/>
    <mergeCell ref="H62:L63"/>
    <mergeCell ref="M62:S63"/>
    <mergeCell ref="A56:S58"/>
    <mergeCell ref="A59:S61"/>
    <mergeCell ref="B36:B38"/>
    <mergeCell ref="B39:B42"/>
    <mergeCell ref="B43:B45"/>
    <mergeCell ref="B46:B49"/>
    <mergeCell ref="C4:C5"/>
    <mergeCell ref="B6:B13"/>
    <mergeCell ref="B14:B16"/>
    <mergeCell ref="B17:B20"/>
    <mergeCell ref="B21:B27"/>
    <mergeCell ref="B28:B35"/>
    <mergeCell ref="R1:S1"/>
    <mergeCell ref="R2:S2"/>
    <mergeCell ref="R3:S3"/>
    <mergeCell ref="H4:S4"/>
    <mergeCell ref="A4:A5"/>
    <mergeCell ref="B4:B5"/>
    <mergeCell ref="D4:D5"/>
    <mergeCell ref="E4:E5"/>
    <mergeCell ref="F4:F5"/>
    <mergeCell ref="G4:G5"/>
    <mergeCell ref="A1:P3"/>
  </mergeCells>
  <pageMargins left="0.25" right="0.25" top="0.75" bottom="0.75" header="0.3" footer="0.3"/>
  <pageSetup paperSize="9" scale="49" firstPageNumber="0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15" sqref="P15"/>
    </sheetView>
  </sheetViews>
  <sheetFormatPr defaultRowHeight="12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7"/>
  <sheetViews>
    <sheetView topLeftCell="C1" workbookViewId="0">
      <selection activeCell="C43" sqref="C43"/>
    </sheetView>
  </sheetViews>
  <sheetFormatPr defaultColWidth="9.1796875" defaultRowHeight="12.5"/>
  <cols>
    <col min="1" max="1" width="5.7265625" style="2" customWidth="1"/>
    <col min="2" max="2" width="13.81640625" style="2" customWidth="1"/>
    <col min="3" max="3" width="60" style="2" customWidth="1"/>
    <col min="4" max="4" width="13.1796875" style="2" customWidth="1"/>
    <col min="5" max="5" width="17" style="2" customWidth="1"/>
    <col min="6" max="6" width="13.1796875" style="2" customWidth="1"/>
    <col min="7" max="7" width="10.81640625" style="2" customWidth="1"/>
    <col min="8" max="18" width="13" style="3" customWidth="1"/>
    <col min="19" max="19" width="16.81640625" style="3" customWidth="1"/>
    <col min="20" max="1023" width="9.1796875" style="3"/>
  </cols>
  <sheetData>
    <row r="1" spans="1:24" ht="16.5">
      <c r="A1" s="116" t="s">
        <v>478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36" t="s">
        <v>1</v>
      </c>
      <c r="R1" s="111" t="s">
        <v>2</v>
      </c>
      <c r="S1" s="111"/>
    </row>
    <row r="2" spans="1:24" ht="16.5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36" t="s">
        <v>3</v>
      </c>
      <c r="R2" s="112" t="s">
        <v>4</v>
      </c>
      <c r="S2" s="112"/>
    </row>
    <row r="3" spans="1:24" ht="16.5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37" t="s">
        <v>5</v>
      </c>
      <c r="R3" s="113" t="s">
        <v>6</v>
      </c>
      <c r="S3" s="113"/>
    </row>
    <row r="4" spans="1:24" ht="16.5">
      <c r="A4" s="115" t="s">
        <v>7</v>
      </c>
      <c r="B4" s="115" t="s">
        <v>8</v>
      </c>
      <c r="C4" s="115" t="s">
        <v>9</v>
      </c>
      <c r="D4" s="115" t="s">
        <v>10</v>
      </c>
      <c r="E4" s="115" t="s">
        <v>11</v>
      </c>
      <c r="F4" s="115" t="s">
        <v>12</v>
      </c>
      <c r="G4" s="115" t="s">
        <v>13</v>
      </c>
      <c r="H4" s="114" t="s">
        <v>14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</row>
    <row r="5" spans="1:24" ht="16.5">
      <c r="A5" s="115"/>
      <c r="B5" s="115"/>
      <c r="C5" s="115"/>
      <c r="D5" s="115"/>
      <c r="E5" s="115"/>
      <c r="F5" s="115"/>
      <c r="G5" s="115"/>
      <c r="H5" s="4" t="s">
        <v>479</v>
      </c>
      <c r="I5" s="4" t="s">
        <v>480</v>
      </c>
      <c r="J5" s="4" t="s">
        <v>481</v>
      </c>
      <c r="K5" s="4" t="s">
        <v>482</v>
      </c>
      <c r="L5" s="4" t="s">
        <v>483</v>
      </c>
      <c r="M5" s="4" t="s">
        <v>484</v>
      </c>
      <c r="N5" s="4" t="s">
        <v>485</v>
      </c>
      <c r="O5" s="4" t="s">
        <v>486</v>
      </c>
      <c r="P5" s="4" t="s">
        <v>487</v>
      </c>
      <c r="Q5" s="4" t="s">
        <v>488</v>
      </c>
      <c r="R5" s="4" t="s">
        <v>489</v>
      </c>
      <c r="S5" s="4" t="s">
        <v>490</v>
      </c>
      <c r="U5" s="38" t="s">
        <v>27</v>
      </c>
    </row>
    <row r="6" spans="1:24" s="1" customFormat="1" ht="33">
      <c r="A6" s="5">
        <v>1</v>
      </c>
      <c r="B6" s="118" t="s">
        <v>28</v>
      </c>
      <c r="C6" s="7" t="s">
        <v>29</v>
      </c>
      <c r="D6" s="8" t="s">
        <v>30</v>
      </c>
      <c r="E6" s="9" t="s">
        <v>31</v>
      </c>
      <c r="F6" s="10" t="s">
        <v>32</v>
      </c>
      <c r="G6" s="8" t="s">
        <v>33</v>
      </c>
      <c r="H6" s="74">
        <v>46124</v>
      </c>
      <c r="I6" s="89"/>
      <c r="J6" s="88"/>
      <c r="K6" s="88"/>
      <c r="L6" s="88"/>
      <c r="M6" s="85"/>
      <c r="N6" s="88"/>
      <c r="O6" s="88"/>
      <c r="P6" s="88"/>
      <c r="Q6" s="88"/>
      <c r="R6" s="90"/>
      <c r="S6" s="85"/>
      <c r="W6" s="39"/>
      <c r="X6" s="40"/>
    </row>
    <row r="7" spans="1:24" s="1" customFormat="1" ht="33">
      <c r="A7" s="5">
        <v>2</v>
      </c>
      <c r="B7" s="118"/>
      <c r="C7" s="7" t="s">
        <v>42</v>
      </c>
      <c r="D7" s="8" t="s">
        <v>30</v>
      </c>
      <c r="E7" s="9" t="s">
        <v>43</v>
      </c>
      <c r="F7" s="10" t="s">
        <v>44</v>
      </c>
      <c r="G7" s="8" t="s">
        <v>33</v>
      </c>
      <c r="H7" s="89"/>
      <c r="I7" s="88"/>
      <c r="J7" s="90"/>
      <c r="K7" s="88"/>
      <c r="L7" s="89"/>
      <c r="M7" s="88"/>
      <c r="N7" s="91"/>
      <c r="O7" s="88"/>
      <c r="P7" s="88"/>
      <c r="Q7" s="88"/>
      <c r="R7" s="90"/>
      <c r="S7" s="90"/>
      <c r="W7" s="41"/>
      <c r="X7" s="40"/>
    </row>
    <row r="8" spans="1:24" s="1" customFormat="1" ht="33">
      <c r="A8" s="5">
        <v>3</v>
      </c>
      <c r="B8" s="118"/>
      <c r="C8" s="7" t="s">
        <v>49</v>
      </c>
      <c r="D8" s="8" t="s">
        <v>30</v>
      </c>
      <c r="E8" s="9" t="s">
        <v>50</v>
      </c>
      <c r="F8" s="10" t="s">
        <v>51</v>
      </c>
      <c r="G8" s="9" t="s">
        <v>33</v>
      </c>
      <c r="H8" s="85"/>
      <c r="I8" s="88"/>
      <c r="J8" s="90"/>
      <c r="K8" s="89"/>
      <c r="L8" s="88"/>
      <c r="M8" s="88"/>
      <c r="N8" s="88"/>
      <c r="O8" s="88"/>
      <c r="P8" s="88"/>
      <c r="Q8" s="88"/>
      <c r="R8" s="88"/>
      <c r="S8" s="90"/>
      <c r="U8" s="42"/>
      <c r="W8" s="39"/>
      <c r="X8" s="40"/>
    </row>
    <row r="9" spans="1:24" s="1" customFormat="1" ht="33">
      <c r="A9" s="5">
        <v>4</v>
      </c>
      <c r="B9" s="118"/>
      <c r="C9" s="7" t="s">
        <v>56</v>
      </c>
      <c r="D9" s="8" t="s">
        <v>30</v>
      </c>
      <c r="E9" s="9" t="s">
        <v>57</v>
      </c>
      <c r="F9" s="10" t="s">
        <v>58</v>
      </c>
      <c r="G9" s="9" t="s">
        <v>33</v>
      </c>
      <c r="H9" s="85"/>
      <c r="I9" s="89"/>
      <c r="J9" s="88"/>
      <c r="K9" s="89"/>
      <c r="L9" s="88"/>
      <c r="M9" s="88"/>
      <c r="N9" s="88"/>
      <c r="O9" s="88"/>
      <c r="P9" s="88"/>
      <c r="Q9" s="88"/>
      <c r="R9" s="88"/>
      <c r="S9" s="85"/>
      <c r="W9" s="41"/>
      <c r="X9" s="40"/>
    </row>
    <row r="10" spans="1:24" s="1" customFormat="1" ht="33">
      <c r="A10" s="5">
        <v>5</v>
      </c>
      <c r="B10" s="118"/>
      <c r="C10" s="7" t="s">
        <v>65</v>
      </c>
      <c r="D10" s="8" t="s">
        <v>30</v>
      </c>
      <c r="E10" s="9" t="s">
        <v>66</v>
      </c>
      <c r="F10" s="10" t="s">
        <v>67</v>
      </c>
      <c r="G10" s="9" t="s">
        <v>33</v>
      </c>
      <c r="H10" s="107">
        <v>46117</v>
      </c>
      <c r="I10" s="88"/>
      <c r="J10" s="88"/>
      <c r="K10" s="89"/>
      <c r="L10" s="89"/>
      <c r="M10" s="88"/>
      <c r="N10" s="88"/>
      <c r="O10" s="88"/>
      <c r="P10" s="88"/>
      <c r="Q10" s="88"/>
      <c r="R10" s="85"/>
      <c r="S10" s="90"/>
      <c r="W10" s="41"/>
      <c r="X10" s="40"/>
    </row>
    <row r="11" spans="1:24" s="1" customFormat="1" ht="33">
      <c r="A11" s="5">
        <v>6</v>
      </c>
      <c r="B11" s="118"/>
      <c r="C11" s="7" t="s">
        <v>71</v>
      </c>
      <c r="D11" s="8" t="s">
        <v>30</v>
      </c>
      <c r="E11" s="9" t="s">
        <v>72</v>
      </c>
      <c r="F11" s="10" t="s">
        <v>73</v>
      </c>
      <c r="G11" s="9" t="s">
        <v>74</v>
      </c>
      <c r="H11" s="88"/>
      <c r="I11" s="88"/>
      <c r="J11" s="90"/>
      <c r="K11" s="88"/>
      <c r="L11" s="90"/>
      <c r="M11" s="85"/>
      <c r="N11" s="88"/>
      <c r="O11" s="88"/>
      <c r="P11" s="88"/>
      <c r="Q11" s="88"/>
      <c r="R11" s="88"/>
      <c r="S11" s="90"/>
      <c r="W11" s="39"/>
      <c r="X11" s="40"/>
    </row>
    <row r="12" spans="1:24" s="1" customFormat="1" ht="49.5">
      <c r="A12" s="5">
        <v>7</v>
      </c>
      <c r="B12" s="118"/>
      <c r="C12" s="7" t="s">
        <v>81</v>
      </c>
      <c r="D12" s="8" t="s">
        <v>30</v>
      </c>
      <c r="E12" s="9" t="s">
        <v>82</v>
      </c>
      <c r="F12" s="10" t="s">
        <v>83</v>
      </c>
      <c r="G12" s="8" t="s">
        <v>33</v>
      </c>
      <c r="H12" s="110">
        <v>46114</v>
      </c>
      <c r="I12" s="93"/>
      <c r="J12" s="92"/>
      <c r="K12" s="85"/>
      <c r="L12" s="94"/>
      <c r="M12" s="92"/>
      <c r="N12" s="85"/>
      <c r="O12" s="85"/>
      <c r="P12" s="85"/>
      <c r="Q12" s="85"/>
      <c r="R12" s="95"/>
      <c r="S12" s="85"/>
      <c r="W12" s="39"/>
      <c r="X12" s="40"/>
    </row>
    <row r="13" spans="1:24" s="1" customFormat="1" ht="36.75" customHeight="1">
      <c r="A13" s="5">
        <v>8</v>
      </c>
      <c r="B13" s="118"/>
      <c r="C13" s="16" t="s">
        <v>429</v>
      </c>
      <c r="D13" s="8" t="s">
        <v>30</v>
      </c>
      <c r="E13" s="9" t="s">
        <v>31</v>
      </c>
      <c r="F13" s="10" t="s">
        <v>93</v>
      </c>
      <c r="G13" s="9" t="s">
        <v>94</v>
      </c>
      <c r="H13" s="85"/>
      <c r="I13" s="90"/>
      <c r="J13" s="88"/>
      <c r="K13" s="90"/>
      <c r="L13" s="88"/>
      <c r="M13" s="88"/>
      <c r="N13" s="88"/>
      <c r="O13" s="85"/>
      <c r="P13" s="88"/>
      <c r="Q13" s="88"/>
      <c r="R13" s="90"/>
      <c r="S13" s="88"/>
      <c r="W13" s="39"/>
      <c r="X13" s="40"/>
    </row>
    <row r="14" spans="1:24" s="1" customFormat="1" ht="49.5">
      <c r="A14" s="5">
        <v>9</v>
      </c>
      <c r="B14" s="119" t="s">
        <v>105</v>
      </c>
      <c r="C14" s="7" t="s">
        <v>106</v>
      </c>
      <c r="D14" s="8" t="s">
        <v>30</v>
      </c>
      <c r="E14" s="9" t="s">
        <v>107</v>
      </c>
      <c r="F14" s="10" t="s">
        <v>67</v>
      </c>
      <c r="G14" s="9" t="s">
        <v>33</v>
      </c>
      <c r="H14" s="107">
        <v>46125</v>
      </c>
      <c r="I14" s="88"/>
      <c r="J14" s="88"/>
      <c r="K14" s="96"/>
      <c r="L14" s="88"/>
      <c r="M14" s="88"/>
      <c r="N14" s="88"/>
      <c r="O14" s="88"/>
      <c r="P14" s="88"/>
      <c r="Q14" s="88"/>
      <c r="R14" s="90"/>
      <c r="S14" s="88"/>
      <c r="U14" s="42"/>
      <c r="W14" s="39"/>
      <c r="X14" s="40"/>
    </row>
    <row r="15" spans="1:24" s="1" customFormat="1" ht="49.5">
      <c r="A15" s="5">
        <v>10</v>
      </c>
      <c r="B15" s="119"/>
      <c r="C15" s="7" t="s">
        <v>114</v>
      </c>
      <c r="D15" s="8" t="s">
        <v>30</v>
      </c>
      <c r="E15" s="9" t="s">
        <v>115</v>
      </c>
      <c r="F15" s="10" t="s">
        <v>116</v>
      </c>
      <c r="G15" s="9" t="s">
        <v>33</v>
      </c>
      <c r="H15" s="88"/>
      <c r="I15" s="88"/>
      <c r="J15" s="88"/>
      <c r="K15" s="96"/>
      <c r="L15" s="88"/>
      <c r="M15" s="88"/>
      <c r="N15" s="88"/>
      <c r="O15" s="88"/>
      <c r="P15" s="85"/>
      <c r="Q15" s="88"/>
      <c r="R15" s="90"/>
      <c r="S15" s="88"/>
      <c r="W15" s="43"/>
      <c r="X15" s="40"/>
    </row>
    <row r="16" spans="1:24" s="1" customFormat="1" ht="33">
      <c r="A16" s="5">
        <v>11</v>
      </c>
      <c r="B16" s="119"/>
      <c r="C16" s="7" t="s">
        <v>118</v>
      </c>
      <c r="D16" s="8" t="s">
        <v>30</v>
      </c>
      <c r="E16" s="9" t="s">
        <v>119</v>
      </c>
      <c r="F16" s="10" t="s">
        <v>120</v>
      </c>
      <c r="G16" s="9" t="s">
        <v>33</v>
      </c>
      <c r="H16" s="85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90"/>
      <c r="W16" s="44"/>
      <c r="X16" s="40"/>
    </row>
    <row r="17" spans="1:1024" s="1" customFormat="1" ht="52" customHeight="1">
      <c r="A17" s="5">
        <v>12</v>
      </c>
      <c r="B17" s="120" t="s">
        <v>125</v>
      </c>
      <c r="C17" s="7" t="s">
        <v>126</v>
      </c>
      <c r="D17" s="8" t="s">
        <v>30</v>
      </c>
      <c r="E17" s="9" t="s">
        <v>127</v>
      </c>
      <c r="F17" s="10" t="s">
        <v>83</v>
      </c>
      <c r="G17" s="9" t="s">
        <v>33</v>
      </c>
      <c r="H17" s="90"/>
      <c r="I17" s="90"/>
      <c r="J17" s="88"/>
      <c r="K17" s="85"/>
      <c r="L17" s="90"/>
      <c r="M17" s="88"/>
      <c r="N17" s="88"/>
      <c r="O17" s="88"/>
      <c r="P17" s="97"/>
      <c r="Q17" s="88"/>
      <c r="R17" s="88"/>
      <c r="S17" s="92"/>
      <c r="W17" s="44"/>
      <c r="X17" s="40"/>
      <c r="AMJ17"/>
    </row>
    <row r="18" spans="1:1024" s="1" customFormat="1" ht="40" customHeight="1">
      <c r="A18" s="5">
        <v>13</v>
      </c>
      <c r="B18" s="120"/>
      <c r="C18" s="7" t="s">
        <v>137</v>
      </c>
      <c r="D18" s="8" t="s">
        <v>30</v>
      </c>
      <c r="E18" s="9" t="s">
        <v>138</v>
      </c>
      <c r="F18" s="10" t="s">
        <v>139</v>
      </c>
      <c r="G18" s="9" t="s">
        <v>33</v>
      </c>
      <c r="H18" s="90"/>
      <c r="I18" s="90"/>
      <c r="J18" s="88"/>
      <c r="K18" s="90"/>
      <c r="L18" s="88"/>
      <c r="M18" s="88"/>
      <c r="N18" s="88"/>
      <c r="O18" s="88"/>
      <c r="P18" s="88"/>
      <c r="Q18" s="85"/>
      <c r="R18" s="85"/>
      <c r="S18" s="90"/>
      <c r="W18" s="44"/>
      <c r="X18" s="40"/>
    </row>
    <row r="19" spans="1:1024" s="1" customFormat="1" ht="40" customHeight="1">
      <c r="A19" s="5">
        <v>14</v>
      </c>
      <c r="B19" s="120"/>
      <c r="C19" s="7" t="s">
        <v>146</v>
      </c>
      <c r="D19" s="8" t="s">
        <v>30</v>
      </c>
      <c r="E19" s="9" t="s">
        <v>147</v>
      </c>
      <c r="F19" s="10" t="s">
        <v>116</v>
      </c>
      <c r="G19" s="9" t="s">
        <v>33</v>
      </c>
      <c r="H19" s="108">
        <v>46119</v>
      </c>
      <c r="I19" s="89"/>
      <c r="J19" s="89"/>
      <c r="K19" s="88"/>
      <c r="L19" s="90"/>
      <c r="M19" s="88"/>
      <c r="N19" s="88"/>
      <c r="O19" s="88"/>
      <c r="P19" s="88"/>
      <c r="Q19" s="88"/>
      <c r="R19" s="85"/>
      <c r="S19" s="85"/>
      <c r="W19" s="45"/>
      <c r="X19" s="45"/>
    </row>
    <row r="20" spans="1:1024" s="1" customFormat="1" ht="40" customHeight="1">
      <c r="A20" s="5">
        <v>15</v>
      </c>
      <c r="B20" s="120"/>
      <c r="C20" s="7" t="s">
        <v>155</v>
      </c>
      <c r="D20" s="8" t="s">
        <v>30</v>
      </c>
      <c r="E20" s="9" t="s">
        <v>156</v>
      </c>
      <c r="F20" s="10" t="s">
        <v>157</v>
      </c>
      <c r="G20" s="9" t="s">
        <v>33</v>
      </c>
      <c r="H20" s="75">
        <v>46119</v>
      </c>
      <c r="I20" s="98"/>
      <c r="J20" s="89"/>
      <c r="K20" s="88"/>
      <c r="L20" s="90"/>
      <c r="M20" s="90"/>
      <c r="N20" s="88"/>
      <c r="O20" s="88"/>
      <c r="P20" s="88"/>
      <c r="Q20" s="88"/>
      <c r="R20" s="88"/>
      <c r="S20" s="88"/>
      <c r="W20" s="45"/>
      <c r="X20" s="45"/>
    </row>
    <row r="21" spans="1:1024" s="1" customFormat="1" ht="40" customHeight="1">
      <c r="A21" s="5">
        <v>16</v>
      </c>
      <c r="B21" s="121" t="s">
        <v>164</v>
      </c>
      <c r="C21" s="7" t="s">
        <v>165</v>
      </c>
      <c r="D21" s="8" t="s">
        <v>30</v>
      </c>
      <c r="E21" s="9" t="s">
        <v>166</v>
      </c>
      <c r="F21" s="10" t="s">
        <v>67</v>
      </c>
      <c r="G21" s="9" t="s">
        <v>33</v>
      </c>
      <c r="H21" s="107">
        <v>46115</v>
      </c>
      <c r="I21" s="89"/>
      <c r="J21" s="89"/>
      <c r="K21" s="88"/>
      <c r="L21" s="89"/>
      <c r="M21" s="88"/>
      <c r="N21" s="88"/>
      <c r="O21" s="88"/>
      <c r="P21" s="88"/>
      <c r="Q21" s="88"/>
      <c r="R21" s="90"/>
      <c r="S21" s="85"/>
      <c r="W21" s="45"/>
      <c r="X21" s="45"/>
    </row>
    <row r="22" spans="1:1024" s="1" customFormat="1" ht="40" customHeight="1">
      <c r="A22" s="5">
        <v>17</v>
      </c>
      <c r="B22" s="121"/>
      <c r="C22" s="7" t="s">
        <v>176</v>
      </c>
      <c r="D22" s="8" t="s">
        <v>30</v>
      </c>
      <c r="E22" s="9" t="s">
        <v>177</v>
      </c>
      <c r="F22" s="10" t="s">
        <v>120</v>
      </c>
      <c r="G22" s="9" t="s">
        <v>33</v>
      </c>
      <c r="H22" s="75">
        <v>46113</v>
      </c>
      <c r="I22" s="89"/>
      <c r="J22" s="88"/>
      <c r="K22" s="88"/>
      <c r="L22" s="89"/>
      <c r="M22" s="88"/>
      <c r="N22" s="88"/>
      <c r="O22" s="88"/>
      <c r="P22" s="88"/>
      <c r="Q22" s="88"/>
      <c r="R22" s="88"/>
      <c r="S22" s="85"/>
      <c r="W22" s="45"/>
      <c r="X22" s="45"/>
    </row>
    <row r="23" spans="1:1024" s="1" customFormat="1" ht="40" customHeight="1">
      <c r="A23" s="5">
        <v>18</v>
      </c>
      <c r="B23" s="121"/>
      <c r="C23" s="7" t="s">
        <v>186</v>
      </c>
      <c r="D23" s="8" t="s">
        <v>30</v>
      </c>
      <c r="E23" s="9" t="s">
        <v>187</v>
      </c>
      <c r="F23" s="10" t="s">
        <v>120</v>
      </c>
      <c r="G23" s="9" t="s">
        <v>33</v>
      </c>
      <c r="H23" s="107">
        <v>46114</v>
      </c>
      <c r="I23" s="93"/>
      <c r="J23" s="88"/>
      <c r="K23" s="89"/>
      <c r="L23" s="89"/>
      <c r="M23" s="88"/>
      <c r="N23" s="85"/>
      <c r="O23" s="85"/>
      <c r="P23" s="85"/>
      <c r="Q23" s="85"/>
      <c r="R23" s="85"/>
      <c r="S23" s="85"/>
      <c r="W23" s="45"/>
      <c r="X23" s="45"/>
    </row>
    <row r="24" spans="1:1024" s="1" customFormat="1" ht="50.15" customHeight="1">
      <c r="A24" s="5">
        <v>19</v>
      </c>
      <c r="B24" s="121"/>
      <c r="C24" s="7" t="s">
        <v>189</v>
      </c>
      <c r="D24" s="8" t="s">
        <v>30</v>
      </c>
      <c r="E24" s="9" t="s">
        <v>190</v>
      </c>
      <c r="F24" s="10" t="s">
        <v>83</v>
      </c>
      <c r="G24" s="9" t="s">
        <v>33</v>
      </c>
      <c r="H24" s="108">
        <v>46119</v>
      </c>
      <c r="I24" s="90"/>
      <c r="J24" s="88"/>
      <c r="K24" s="89"/>
      <c r="L24" s="88"/>
      <c r="M24" s="88"/>
      <c r="N24" s="88"/>
      <c r="O24" s="88"/>
      <c r="P24" s="88"/>
      <c r="Q24" s="88"/>
      <c r="R24" s="88"/>
      <c r="S24" s="90"/>
      <c r="U24" s="42"/>
      <c r="W24" s="45"/>
      <c r="X24" s="45"/>
    </row>
    <row r="25" spans="1:1024" s="1" customFormat="1" ht="50.15" customHeight="1">
      <c r="A25" s="5">
        <v>20</v>
      </c>
      <c r="B25" s="121"/>
      <c r="C25" s="7" t="s">
        <v>192</v>
      </c>
      <c r="D25" s="8" t="s">
        <v>30</v>
      </c>
      <c r="E25" s="9" t="s">
        <v>193</v>
      </c>
      <c r="F25" s="10" t="s">
        <v>194</v>
      </c>
      <c r="G25" s="9" t="s">
        <v>195</v>
      </c>
      <c r="H25" s="89"/>
      <c r="I25" s="90"/>
      <c r="J25" s="89"/>
      <c r="K25" s="89"/>
      <c r="L25" s="89"/>
      <c r="M25" s="88"/>
      <c r="N25" s="88"/>
      <c r="O25" s="88"/>
      <c r="P25" s="85"/>
      <c r="Q25" s="88"/>
      <c r="R25" s="88"/>
      <c r="S25" s="85"/>
      <c r="W25" s="45"/>
      <c r="X25" s="45"/>
    </row>
    <row r="26" spans="1:1024" s="1" customFormat="1" ht="40" customHeight="1">
      <c r="A26" s="5">
        <v>21</v>
      </c>
      <c r="B26" s="121"/>
      <c r="C26" s="7" t="s">
        <v>198</v>
      </c>
      <c r="D26" s="8" t="s">
        <v>30</v>
      </c>
      <c r="E26" s="9" t="s">
        <v>199</v>
      </c>
      <c r="F26" s="10" t="s">
        <v>200</v>
      </c>
      <c r="G26" s="9" t="s">
        <v>195</v>
      </c>
      <c r="H26" s="74">
        <v>46122</v>
      </c>
      <c r="I26" s="90"/>
      <c r="J26" s="89"/>
      <c r="K26" s="89"/>
      <c r="L26" s="88"/>
      <c r="M26" s="88"/>
      <c r="N26" s="88"/>
      <c r="O26" s="90"/>
      <c r="P26" s="85"/>
      <c r="Q26" s="88"/>
      <c r="R26" s="88"/>
      <c r="S26" s="90"/>
      <c r="W26" s="45"/>
      <c r="X26" s="45"/>
    </row>
    <row r="27" spans="1:1024" s="1" customFormat="1" ht="40" customHeight="1">
      <c r="A27" s="5">
        <v>22</v>
      </c>
      <c r="B27" s="121"/>
      <c r="C27" s="7" t="s">
        <v>207</v>
      </c>
      <c r="D27" s="8" t="s">
        <v>30</v>
      </c>
      <c r="E27" s="9" t="s">
        <v>208</v>
      </c>
      <c r="F27" s="10" t="s">
        <v>209</v>
      </c>
      <c r="G27" s="9" t="s">
        <v>195</v>
      </c>
      <c r="H27" s="93"/>
      <c r="I27" s="93"/>
      <c r="J27" s="88"/>
      <c r="K27" s="93"/>
      <c r="L27" s="90"/>
      <c r="M27" s="88"/>
      <c r="N27" s="88"/>
      <c r="O27" s="85"/>
      <c r="P27" s="88"/>
      <c r="Q27" s="88"/>
      <c r="R27" s="88"/>
      <c r="S27" s="88"/>
      <c r="AMG27"/>
      <c r="AMH27"/>
      <c r="AMI27"/>
      <c r="AMJ27"/>
    </row>
    <row r="28" spans="1:1024" s="1" customFormat="1" ht="40" customHeight="1">
      <c r="A28" s="5">
        <v>23</v>
      </c>
      <c r="B28" s="122" t="s">
        <v>214</v>
      </c>
      <c r="C28" s="7" t="s">
        <v>215</v>
      </c>
      <c r="D28" s="8" t="s">
        <v>30</v>
      </c>
      <c r="E28" s="9" t="s">
        <v>216</v>
      </c>
      <c r="F28" s="10" t="s">
        <v>116</v>
      </c>
      <c r="G28" s="9" t="s">
        <v>33</v>
      </c>
      <c r="H28" s="88"/>
      <c r="I28" s="85"/>
      <c r="J28" s="90"/>
      <c r="K28" s="88"/>
      <c r="L28" s="90"/>
      <c r="M28" s="88"/>
      <c r="N28" s="88"/>
      <c r="O28" s="88"/>
      <c r="P28" s="88"/>
      <c r="Q28" s="88"/>
      <c r="R28" s="88"/>
      <c r="S28" s="88"/>
    </row>
    <row r="29" spans="1:1024" s="1" customFormat="1" ht="40" customHeight="1">
      <c r="A29" s="5">
        <v>24</v>
      </c>
      <c r="B29" s="122"/>
      <c r="C29" s="7" t="s">
        <v>218</v>
      </c>
      <c r="D29" s="8" t="s">
        <v>30</v>
      </c>
      <c r="E29" s="9" t="s">
        <v>219</v>
      </c>
      <c r="F29" s="10" t="s">
        <v>120</v>
      </c>
      <c r="G29" s="9" t="s">
        <v>33</v>
      </c>
      <c r="H29" s="90"/>
      <c r="I29" s="93"/>
      <c r="J29" s="88"/>
      <c r="K29" s="89"/>
      <c r="L29" s="88"/>
      <c r="M29" s="88"/>
      <c r="N29" s="88"/>
      <c r="O29" s="88"/>
      <c r="P29" s="88"/>
      <c r="Q29" s="88"/>
      <c r="R29" s="85"/>
      <c r="S29" s="88"/>
    </row>
    <row r="30" spans="1:1024" s="1" customFormat="1" ht="40" customHeight="1">
      <c r="A30" s="5">
        <v>25</v>
      </c>
      <c r="B30" s="122"/>
      <c r="C30" s="7" t="s">
        <v>227</v>
      </c>
      <c r="D30" s="8" t="s">
        <v>30</v>
      </c>
      <c r="E30" s="9" t="s">
        <v>228</v>
      </c>
      <c r="F30" s="10" t="s">
        <v>120</v>
      </c>
      <c r="G30" s="9" t="s">
        <v>33</v>
      </c>
      <c r="H30" s="90"/>
      <c r="I30" s="93"/>
      <c r="J30" s="88"/>
      <c r="K30" s="90"/>
      <c r="L30" s="88"/>
      <c r="M30" s="88"/>
      <c r="N30" s="88"/>
      <c r="O30" s="85"/>
      <c r="P30" s="85"/>
      <c r="Q30" s="85"/>
      <c r="R30" s="90"/>
      <c r="S30" s="88"/>
    </row>
    <row r="31" spans="1:1024" s="1" customFormat="1" ht="40" customHeight="1">
      <c r="A31" s="5">
        <v>26</v>
      </c>
      <c r="B31" s="122"/>
      <c r="C31" s="7" t="s">
        <v>233</v>
      </c>
      <c r="D31" s="8" t="s">
        <v>30</v>
      </c>
      <c r="E31" s="9" t="s">
        <v>234</v>
      </c>
      <c r="F31" s="10" t="s">
        <v>116</v>
      </c>
      <c r="G31" s="9" t="s">
        <v>33</v>
      </c>
      <c r="H31" s="90"/>
      <c r="I31" s="89"/>
      <c r="J31" s="88"/>
      <c r="K31" s="93"/>
      <c r="L31" s="88"/>
      <c r="M31" s="88"/>
      <c r="N31" s="88"/>
      <c r="O31" s="90"/>
      <c r="P31" s="85"/>
      <c r="Q31" s="85"/>
      <c r="R31" s="90"/>
      <c r="S31" s="88"/>
    </row>
    <row r="32" spans="1:1024" s="1" customFormat="1" ht="40" customHeight="1">
      <c r="A32" s="5">
        <v>27</v>
      </c>
      <c r="B32" s="122"/>
      <c r="C32" s="7" t="s">
        <v>238</v>
      </c>
      <c r="D32" s="8" t="s">
        <v>30</v>
      </c>
      <c r="E32" s="9" t="s">
        <v>239</v>
      </c>
      <c r="F32" s="10" t="s">
        <v>240</v>
      </c>
      <c r="G32" s="9" t="s">
        <v>33</v>
      </c>
      <c r="H32" s="90"/>
      <c r="I32" s="90"/>
      <c r="J32" s="90"/>
      <c r="K32" s="90"/>
      <c r="L32" s="88"/>
      <c r="M32" s="85"/>
      <c r="N32" s="88"/>
      <c r="O32" s="85"/>
      <c r="P32" s="88"/>
      <c r="Q32" s="85"/>
      <c r="R32" s="90"/>
      <c r="S32" s="88"/>
    </row>
    <row r="33" spans="1:21" s="1" customFormat="1" ht="33">
      <c r="A33" s="5">
        <v>28</v>
      </c>
      <c r="B33" s="122"/>
      <c r="C33" s="7" t="s">
        <v>244</v>
      </c>
      <c r="D33" s="8" t="s">
        <v>30</v>
      </c>
      <c r="E33" s="9" t="s">
        <v>245</v>
      </c>
      <c r="F33" s="10" t="s">
        <v>83</v>
      </c>
      <c r="G33" s="9" t="s">
        <v>33</v>
      </c>
      <c r="H33" s="93"/>
      <c r="I33" s="89"/>
      <c r="J33" s="88"/>
      <c r="K33" s="88"/>
      <c r="L33" s="90"/>
      <c r="M33" s="90"/>
      <c r="N33" s="88"/>
      <c r="O33" s="85"/>
      <c r="P33" s="88"/>
      <c r="Q33" s="88"/>
      <c r="R33" s="88"/>
      <c r="S33" s="88"/>
    </row>
    <row r="34" spans="1:21" s="1" customFormat="1" ht="33">
      <c r="A34" s="5">
        <v>29</v>
      </c>
      <c r="B34" s="122"/>
      <c r="C34" s="7" t="s">
        <v>459</v>
      </c>
      <c r="D34" s="8" t="s">
        <v>30</v>
      </c>
      <c r="E34" s="9" t="s">
        <v>460</v>
      </c>
      <c r="F34" s="10"/>
      <c r="G34" s="9" t="s">
        <v>195</v>
      </c>
      <c r="H34" s="108">
        <v>46116</v>
      </c>
      <c r="I34" s="89"/>
      <c r="J34" s="88"/>
      <c r="K34" s="88"/>
      <c r="L34" s="85"/>
      <c r="M34" s="85"/>
      <c r="N34" s="88"/>
      <c r="O34" s="85"/>
      <c r="P34" s="88"/>
      <c r="Q34" s="88"/>
      <c r="R34" s="88"/>
      <c r="S34" s="88"/>
    </row>
    <row r="35" spans="1:21" s="1" customFormat="1" ht="33">
      <c r="A35" s="5">
        <v>30</v>
      </c>
      <c r="B35" s="122"/>
      <c r="C35" s="7" t="s">
        <v>461</v>
      </c>
      <c r="D35" s="8" t="s">
        <v>30</v>
      </c>
      <c r="E35" s="9" t="s">
        <v>249</v>
      </c>
      <c r="F35" s="10" t="s">
        <v>250</v>
      </c>
      <c r="G35" s="9" t="s">
        <v>33</v>
      </c>
      <c r="H35" s="90"/>
      <c r="I35" s="93"/>
      <c r="J35" s="88"/>
      <c r="K35" s="93"/>
      <c r="L35" s="88"/>
      <c r="M35" s="90"/>
      <c r="N35" s="88"/>
      <c r="O35" s="90"/>
      <c r="P35" s="85"/>
      <c r="Q35" s="85"/>
      <c r="R35" s="90"/>
      <c r="S35" s="88"/>
      <c r="U35" s="42"/>
    </row>
    <row r="36" spans="1:21" s="1" customFormat="1" ht="33">
      <c r="A36" s="5">
        <v>31</v>
      </c>
      <c r="B36" s="117" t="s">
        <v>255</v>
      </c>
      <c r="C36" s="7" t="s">
        <v>256</v>
      </c>
      <c r="D36" s="8" t="s">
        <v>30</v>
      </c>
      <c r="E36" s="9" t="s">
        <v>257</v>
      </c>
      <c r="F36" s="10" t="s">
        <v>258</v>
      </c>
      <c r="G36" s="9" t="s">
        <v>33</v>
      </c>
      <c r="H36" s="75">
        <v>46115</v>
      </c>
      <c r="I36" s="93"/>
      <c r="J36" s="90"/>
      <c r="K36" s="93"/>
      <c r="L36" s="93"/>
      <c r="M36" s="88"/>
      <c r="N36" s="88"/>
      <c r="O36" s="90"/>
      <c r="P36" s="85"/>
      <c r="Q36" s="85"/>
      <c r="R36" s="85"/>
      <c r="S36" s="88"/>
    </row>
    <row r="37" spans="1:21" s="1" customFormat="1" ht="33">
      <c r="A37" s="5">
        <v>32</v>
      </c>
      <c r="B37" s="117"/>
      <c r="C37" s="7" t="s">
        <v>264</v>
      </c>
      <c r="D37" s="8" t="s">
        <v>30</v>
      </c>
      <c r="E37" s="9" t="s">
        <v>265</v>
      </c>
      <c r="F37" s="10" t="s">
        <v>240</v>
      </c>
      <c r="G37" s="9" t="s">
        <v>33</v>
      </c>
      <c r="H37" s="75">
        <v>46113</v>
      </c>
      <c r="I37" s="93"/>
      <c r="J37" s="90"/>
      <c r="K37" s="88"/>
      <c r="L37" s="89"/>
      <c r="M37" s="85"/>
      <c r="N37" s="88"/>
      <c r="O37" s="85"/>
      <c r="P37" s="88"/>
      <c r="Q37" s="85"/>
      <c r="R37" s="85"/>
      <c r="S37" s="85"/>
    </row>
    <row r="38" spans="1:21" s="1" customFormat="1" ht="33">
      <c r="A38" s="5">
        <v>33</v>
      </c>
      <c r="B38" s="117"/>
      <c r="C38" s="7" t="s">
        <v>268</v>
      </c>
      <c r="D38" s="8" t="s">
        <v>30</v>
      </c>
      <c r="E38" s="9" t="s">
        <v>269</v>
      </c>
      <c r="F38" s="10" t="s">
        <v>270</v>
      </c>
      <c r="G38" s="9" t="s">
        <v>33</v>
      </c>
      <c r="H38" s="107">
        <v>46114</v>
      </c>
      <c r="I38" s="90"/>
      <c r="J38" s="90"/>
      <c r="K38" s="88"/>
      <c r="L38" s="89"/>
      <c r="M38" s="85"/>
      <c r="N38" s="90"/>
      <c r="O38" s="88"/>
      <c r="P38" s="88"/>
      <c r="Q38" s="88"/>
      <c r="R38" s="85"/>
      <c r="S38" s="85"/>
    </row>
    <row r="39" spans="1:21" s="1" customFormat="1" ht="33">
      <c r="A39" s="5">
        <v>34</v>
      </c>
      <c r="B39" s="117" t="s">
        <v>272</v>
      </c>
      <c r="C39" s="7" t="s">
        <v>273</v>
      </c>
      <c r="D39" s="8" t="s">
        <v>30</v>
      </c>
      <c r="E39" s="9" t="s">
        <v>274</v>
      </c>
      <c r="F39" s="10" t="s">
        <v>67</v>
      </c>
      <c r="G39" s="9" t="s">
        <v>33</v>
      </c>
      <c r="H39" s="93"/>
      <c r="I39" s="90"/>
      <c r="J39" s="90"/>
      <c r="K39" s="90"/>
      <c r="L39" s="88"/>
      <c r="M39" s="85"/>
      <c r="N39" s="88"/>
      <c r="O39" s="85"/>
      <c r="P39" s="88"/>
      <c r="Q39" s="88"/>
      <c r="R39" s="90"/>
      <c r="S39" s="90"/>
    </row>
    <row r="40" spans="1:21" s="1" customFormat="1" ht="33">
      <c r="A40" s="5">
        <v>35</v>
      </c>
      <c r="B40" s="117"/>
      <c r="C40" s="7" t="s">
        <v>276</v>
      </c>
      <c r="D40" s="8" t="s">
        <v>30</v>
      </c>
      <c r="E40" s="9" t="s">
        <v>277</v>
      </c>
      <c r="F40" s="10" t="s">
        <v>67</v>
      </c>
      <c r="G40" s="9" t="s">
        <v>33</v>
      </c>
      <c r="H40" s="88"/>
      <c r="I40" s="88"/>
      <c r="J40" s="90"/>
      <c r="K40" s="90"/>
      <c r="L40" s="88"/>
      <c r="M40" s="88"/>
      <c r="N40" s="90"/>
      <c r="O40" s="88"/>
      <c r="P40" s="85"/>
      <c r="Q40" s="88"/>
      <c r="R40" s="88"/>
      <c r="S40" s="88"/>
    </row>
    <row r="41" spans="1:21" s="1" customFormat="1" ht="33">
      <c r="A41" s="5">
        <v>36</v>
      </c>
      <c r="B41" s="117"/>
      <c r="C41" s="7" t="s">
        <v>280</v>
      </c>
      <c r="D41" s="8" t="s">
        <v>30</v>
      </c>
      <c r="E41" s="9" t="s">
        <v>281</v>
      </c>
      <c r="F41" s="10" t="s">
        <v>282</v>
      </c>
      <c r="G41" s="9" t="s">
        <v>33</v>
      </c>
      <c r="H41" s="93"/>
      <c r="I41" s="88"/>
      <c r="J41" s="90"/>
      <c r="K41" s="90"/>
      <c r="L41" s="88"/>
      <c r="M41" s="90"/>
      <c r="N41" s="88"/>
      <c r="O41" s="88"/>
      <c r="P41" s="88"/>
      <c r="Q41" s="88"/>
      <c r="R41" s="88"/>
      <c r="S41" s="88"/>
    </row>
    <row r="42" spans="1:21" s="1" customFormat="1" ht="24.75" customHeight="1">
      <c r="A42" s="5">
        <v>37</v>
      </c>
      <c r="B42" s="117"/>
      <c r="C42" s="7" t="s">
        <v>286</v>
      </c>
      <c r="D42" s="8" t="s">
        <v>30</v>
      </c>
      <c r="E42" s="9" t="s">
        <v>287</v>
      </c>
      <c r="F42" s="10"/>
      <c r="G42" s="9" t="s">
        <v>94</v>
      </c>
      <c r="H42" s="99"/>
      <c r="I42" s="100"/>
      <c r="J42" s="100"/>
      <c r="K42" s="99"/>
      <c r="L42" s="101"/>
      <c r="M42" s="99"/>
      <c r="N42" s="100"/>
      <c r="O42" s="100"/>
      <c r="P42" s="100"/>
      <c r="Q42" s="100"/>
      <c r="R42" s="100"/>
      <c r="S42" s="100"/>
    </row>
    <row r="43" spans="1:21" s="1" customFormat="1" ht="33">
      <c r="A43" s="5">
        <v>38</v>
      </c>
      <c r="B43" s="117" t="s">
        <v>288</v>
      </c>
      <c r="C43" s="7" t="s">
        <v>289</v>
      </c>
      <c r="D43" s="8" t="s">
        <v>30</v>
      </c>
      <c r="E43" s="9" t="s">
        <v>257</v>
      </c>
      <c r="F43" s="10" t="s">
        <v>472</v>
      </c>
      <c r="G43" s="9" t="s">
        <v>195</v>
      </c>
      <c r="H43" s="90"/>
      <c r="I43" s="88"/>
      <c r="J43" s="90"/>
      <c r="K43" s="93"/>
      <c r="L43" s="88"/>
      <c r="M43" s="90"/>
      <c r="N43" s="88"/>
      <c r="O43" s="88"/>
      <c r="P43" s="88"/>
      <c r="Q43" s="88"/>
      <c r="R43" s="88"/>
      <c r="S43" s="88"/>
    </row>
    <row r="44" spans="1:21" s="1" customFormat="1" ht="33">
      <c r="A44" s="5">
        <v>39</v>
      </c>
      <c r="B44" s="117"/>
      <c r="C44" s="7" t="s">
        <v>291</v>
      </c>
      <c r="D44" s="8" t="s">
        <v>30</v>
      </c>
      <c r="E44" s="9" t="s">
        <v>292</v>
      </c>
      <c r="F44" s="10" t="s">
        <v>139</v>
      </c>
      <c r="G44" s="9" t="s">
        <v>33</v>
      </c>
      <c r="H44" s="93"/>
      <c r="I44" s="88"/>
      <c r="J44" s="85"/>
      <c r="K44" s="90"/>
      <c r="L44" s="88"/>
      <c r="M44" s="90"/>
      <c r="N44" s="88"/>
      <c r="O44" s="88"/>
      <c r="P44" s="88"/>
      <c r="Q44" s="88"/>
      <c r="R44" s="88"/>
      <c r="S44" s="88"/>
    </row>
    <row r="45" spans="1:21" s="1" customFormat="1" ht="16.5">
      <c r="A45" s="5">
        <v>40</v>
      </c>
      <c r="B45" s="117"/>
      <c r="C45" s="16" t="s">
        <v>295</v>
      </c>
      <c r="D45" s="8" t="s">
        <v>30</v>
      </c>
      <c r="E45" s="9" t="s">
        <v>265</v>
      </c>
      <c r="F45" s="10" t="s">
        <v>93</v>
      </c>
      <c r="G45" s="9" t="s">
        <v>195</v>
      </c>
      <c r="H45" s="85"/>
      <c r="I45" s="92"/>
      <c r="J45" s="92"/>
      <c r="K45" s="92"/>
      <c r="L45" s="92"/>
      <c r="M45" s="92"/>
      <c r="N45" s="95"/>
      <c r="O45" s="102"/>
      <c r="P45" s="102"/>
      <c r="Q45" s="102"/>
      <c r="R45" s="95"/>
      <c r="S45" s="85"/>
    </row>
    <row r="46" spans="1:21" s="1" customFormat="1" ht="33">
      <c r="A46" s="5">
        <v>41</v>
      </c>
      <c r="B46" s="127" t="s">
        <v>305</v>
      </c>
      <c r="C46" s="7" t="s">
        <v>299</v>
      </c>
      <c r="D46" s="8"/>
      <c r="E46" s="9" t="s">
        <v>257</v>
      </c>
      <c r="F46" s="10"/>
      <c r="G46" s="9"/>
      <c r="H46" s="96"/>
      <c r="I46" s="95"/>
      <c r="J46" s="92"/>
      <c r="K46" s="92"/>
      <c r="L46" s="95"/>
      <c r="M46" s="92"/>
      <c r="N46" s="95"/>
      <c r="O46" s="103"/>
      <c r="P46" s="85"/>
      <c r="Q46" s="103"/>
      <c r="R46" s="92"/>
      <c r="S46" s="95"/>
    </row>
    <row r="47" spans="1:21" s="1" customFormat="1" ht="33">
      <c r="A47" s="5">
        <v>42</v>
      </c>
      <c r="B47" s="128"/>
      <c r="C47" s="7" t="s">
        <v>306</v>
      </c>
      <c r="D47" s="8" t="s">
        <v>30</v>
      </c>
      <c r="E47" s="9" t="s">
        <v>292</v>
      </c>
      <c r="F47" s="10" t="s">
        <v>307</v>
      </c>
      <c r="G47" s="9" t="s">
        <v>195</v>
      </c>
      <c r="H47" s="109">
        <v>46130</v>
      </c>
      <c r="I47" s="92"/>
      <c r="J47" s="95"/>
      <c r="K47" s="95"/>
      <c r="L47" s="92"/>
      <c r="M47" s="102"/>
      <c r="N47" s="95"/>
      <c r="O47" s="103"/>
      <c r="P47" s="85"/>
      <c r="Q47" s="103"/>
      <c r="R47" s="95"/>
      <c r="S47" s="95"/>
    </row>
    <row r="48" spans="1:21" s="1" customFormat="1" ht="16.5">
      <c r="A48" s="5">
        <v>43</v>
      </c>
      <c r="B48" s="128"/>
      <c r="C48" s="16" t="s">
        <v>308</v>
      </c>
      <c r="D48" s="8" t="s">
        <v>30</v>
      </c>
      <c r="E48" s="9" t="s">
        <v>265</v>
      </c>
      <c r="F48" s="10" t="s">
        <v>139</v>
      </c>
      <c r="G48" s="9" t="s">
        <v>33</v>
      </c>
      <c r="H48" s="95"/>
      <c r="I48" s="95"/>
      <c r="J48" s="95"/>
      <c r="K48" s="104"/>
      <c r="L48" s="95"/>
      <c r="M48" s="95"/>
      <c r="N48" s="88"/>
      <c r="O48" s="102"/>
      <c r="P48" s="102"/>
      <c r="Q48" s="102"/>
      <c r="R48" s="95"/>
      <c r="S48" s="95"/>
    </row>
    <row r="49" spans="1:19" s="1" customFormat="1" ht="16.5">
      <c r="A49" s="5">
        <v>44</v>
      </c>
      <c r="B49" s="129"/>
      <c r="C49" s="16" t="s">
        <v>310</v>
      </c>
      <c r="D49" s="8" t="s">
        <v>30</v>
      </c>
      <c r="E49" s="9" t="s">
        <v>269</v>
      </c>
      <c r="F49" s="10" t="s">
        <v>139</v>
      </c>
      <c r="G49" s="9" t="s">
        <v>33</v>
      </c>
      <c r="H49" s="95"/>
      <c r="I49" s="92"/>
      <c r="J49" s="95"/>
      <c r="K49" s="104"/>
      <c r="L49" s="92"/>
      <c r="M49" s="92"/>
      <c r="N49" s="95"/>
      <c r="O49" s="102"/>
      <c r="P49" s="102"/>
      <c r="Q49" s="102"/>
      <c r="R49" s="95"/>
      <c r="S49" s="95"/>
    </row>
    <row r="50" spans="1:19" s="1" customFormat="1" ht="33">
      <c r="A50" s="5">
        <v>45</v>
      </c>
      <c r="B50" s="25" t="s">
        <v>473</v>
      </c>
      <c r="C50" s="7" t="s">
        <v>314</v>
      </c>
      <c r="D50" s="8" t="s">
        <v>30</v>
      </c>
      <c r="E50" s="9" t="s">
        <v>315</v>
      </c>
      <c r="F50" s="10" t="s">
        <v>139</v>
      </c>
      <c r="G50" s="9" t="s">
        <v>195</v>
      </c>
      <c r="H50" s="95"/>
      <c r="I50" s="92"/>
      <c r="J50" s="95"/>
      <c r="K50" s="95"/>
      <c r="L50" s="95"/>
      <c r="M50" s="102"/>
      <c r="N50" s="95"/>
      <c r="O50" s="102"/>
      <c r="P50" s="102"/>
      <c r="Q50" s="102"/>
      <c r="R50" s="95"/>
      <c r="S50" s="95"/>
    </row>
    <row r="51" spans="1:19" s="1" customFormat="1" ht="33">
      <c r="A51" s="5">
        <v>46</v>
      </c>
      <c r="B51" s="26"/>
      <c r="C51" s="82" t="s">
        <v>476</v>
      </c>
      <c r="D51" s="8" t="s">
        <v>30</v>
      </c>
      <c r="E51" s="9" t="s">
        <v>318</v>
      </c>
      <c r="F51" s="10"/>
      <c r="G51" s="9" t="s">
        <v>33</v>
      </c>
      <c r="H51" s="95"/>
      <c r="I51" s="95"/>
      <c r="J51" s="85"/>
      <c r="K51" s="92"/>
      <c r="L51" s="85"/>
      <c r="M51" s="92"/>
      <c r="N51" s="95"/>
      <c r="O51" s="94"/>
      <c r="P51" s="102"/>
      <c r="Q51" s="102"/>
      <c r="R51" s="95"/>
      <c r="S51" s="95"/>
    </row>
    <row r="52" spans="1:19" s="1" customFormat="1" ht="49.5">
      <c r="A52" s="5">
        <v>47</v>
      </c>
      <c r="B52" s="26"/>
      <c r="C52" s="7" t="s">
        <v>320</v>
      </c>
      <c r="D52" s="8" t="s">
        <v>30</v>
      </c>
      <c r="E52" s="9" t="s">
        <v>321</v>
      </c>
      <c r="F52" s="10" t="s">
        <v>322</v>
      </c>
      <c r="G52" s="9" t="s">
        <v>33</v>
      </c>
      <c r="H52" s="95"/>
      <c r="I52" s="95"/>
      <c r="J52" s="95"/>
      <c r="K52" s="85"/>
      <c r="L52" s="92"/>
      <c r="M52" s="95"/>
      <c r="N52" s="95"/>
      <c r="O52" s="105"/>
      <c r="P52" s="102"/>
      <c r="Q52" s="103"/>
      <c r="R52" s="92"/>
      <c r="S52" s="95"/>
    </row>
    <row r="53" spans="1:19" s="1" customFormat="1" ht="33">
      <c r="A53" s="5">
        <v>48</v>
      </c>
      <c r="B53" s="26"/>
      <c r="C53" s="7" t="s">
        <v>327</v>
      </c>
      <c r="D53" s="8" t="s">
        <v>30</v>
      </c>
      <c r="E53" s="9" t="s">
        <v>328</v>
      </c>
      <c r="F53" s="10" t="s">
        <v>322</v>
      </c>
      <c r="G53" s="9" t="s">
        <v>33</v>
      </c>
      <c r="H53" s="85"/>
      <c r="I53" s="90"/>
      <c r="J53" s="85"/>
      <c r="K53" s="90"/>
      <c r="L53" s="85"/>
      <c r="M53" s="85"/>
      <c r="N53" s="88"/>
      <c r="O53" s="103"/>
      <c r="P53" s="102"/>
      <c r="Q53" s="103"/>
      <c r="R53" s="95"/>
      <c r="S53" s="95"/>
    </row>
    <row r="54" spans="1:19" s="1" customFormat="1" ht="33">
      <c r="A54" s="5">
        <v>49</v>
      </c>
      <c r="B54" s="26"/>
      <c r="C54" s="7" t="s">
        <v>330</v>
      </c>
      <c r="D54" s="8" t="s">
        <v>30</v>
      </c>
      <c r="E54" s="9" t="s">
        <v>331</v>
      </c>
      <c r="F54" s="10" t="s">
        <v>322</v>
      </c>
      <c r="G54" s="9" t="s">
        <v>33</v>
      </c>
      <c r="H54" s="88"/>
      <c r="I54" s="88"/>
      <c r="J54" s="85"/>
      <c r="K54" s="88"/>
      <c r="L54" s="88"/>
      <c r="M54" s="85"/>
      <c r="N54" s="88"/>
      <c r="O54" s="103"/>
      <c r="P54" s="102"/>
      <c r="Q54" s="103"/>
      <c r="R54" s="90"/>
      <c r="S54" s="106"/>
    </row>
    <row r="55" spans="1:19" s="1" customFormat="1" ht="10.5">
      <c r="A55" s="125" t="s">
        <v>332</v>
      </c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</row>
    <row r="56" spans="1:19" s="1" customFormat="1" ht="10.5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</row>
    <row r="57" spans="1:19" s="1" customFormat="1" ht="10.5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</row>
    <row r="58" spans="1:19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</row>
    <row r="59" spans="1:19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</row>
    <row r="60" spans="1:19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</row>
    <row r="61" spans="1:19">
      <c r="A61" s="115" t="s">
        <v>333</v>
      </c>
      <c r="B61" s="115"/>
      <c r="C61" s="123" t="s">
        <v>334</v>
      </c>
      <c r="D61" s="123"/>
      <c r="E61" s="123"/>
      <c r="F61" s="123"/>
      <c r="G61" s="123"/>
      <c r="H61" s="115"/>
      <c r="I61" s="115"/>
      <c r="J61" s="115"/>
      <c r="K61" s="115"/>
      <c r="L61" s="115"/>
      <c r="M61" s="124" t="s">
        <v>335</v>
      </c>
      <c r="N61" s="124"/>
      <c r="O61" s="124"/>
      <c r="P61" s="124"/>
      <c r="Q61" s="124"/>
      <c r="R61" s="124"/>
      <c r="S61" s="124"/>
    </row>
    <row r="62" spans="1:19">
      <c r="A62" s="115"/>
      <c r="B62" s="115"/>
      <c r="C62" s="123"/>
      <c r="D62" s="123"/>
      <c r="E62" s="123"/>
      <c r="F62" s="123"/>
      <c r="G62" s="123"/>
      <c r="H62" s="115"/>
      <c r="I62" s="115"/>
      <c r="J62" s="115"/>
      <c r="K62" s="115"/>
      <c r="L62" s="115"/>
      <c r="M62" s="124"/>
      <c r="N62" s="124"/>
      <c r="O62" s="124"/>
      <c r="P62" s="124"/>
      <c r="Q62" s="124"/>
      <c r="R62" s="124"/>
      <c r="S62" s="124"/>
    </row>
    <row r="67" spans="4:8">
      <c r="E67" s="47"/>
      <c r="F67" s="47"/>
      <c r="G67" s="47"/>
      <c r="H67" s="48"/>
    </row>
    <row r="68" spans="4:8">
      <c r="D68" s="47"/>
      <c r="E68" s="47"/>
      <c r="F68" s="47"/>
      <c r="G68" s="47"/>
      <c r="H68" s="48"/>
    </row>
    <row r="69" spans="4:8" ht="14.5">
      <c r="D69" s="47"/>
      <c r="E69" s="49"/>
      <c r="F69" s="50"/>
      <c r="G69" s="47"/>
      <c r="H69" s="48"/>
    </row>
    <row r="70" spans="4:8" ht="14.5">
      <c r="D70" s="47"/>
      <c r="E70" s="51"/>
      <c r="F70" s="50"/>
      <c r="G70" s="47"/>
      <c r="H70" s="48"/>
    </row>
    <row r="71" spans="4:8" ht="14.5">
      <c r="D71" s="47"/>
      <c r="E71" s="49"/>
      <c r="F71" s="50"/>
      <c r="G71" s="47"/>
      <c r="H71" s="48"/>
    </row>
    <row r="72" spans="4:8" ht="14.5">
      <c r="D72" s="47"/>
      <c r="E72" s="49"/>
      <c r="F72" s="50"/>
      <c r="G72" s="47"/>
      <c r="H72" s="48"/>
    </row>
    <row r="73" spans="4:8" ht="14.5">
      <c r="D73" s="47"/>
      <c r="E73" s="49"/>
      <c r="F73" s="50"/>
      <c r="G73" s="47"/>
      <c r="H73" s="48"/>
    </row>
    <row r="74" spans="4:8" ht="14.5">
      <c r="D74" s="47"/>
      <c r="E74" s="49"/>
      <c r="F74" s="50"/>
      <c r="G74" s="47"/>
      <c r="H74" s="48"/>
    </row>
    <row r="75" spans="4:8" ht="14.5">
      <c r="D75" s="47"/>
      <c r="E75" s="49"/>
      <c r="F75" s="47"/>
      <c r="G75" s="47"/>
      <c r="H75" s="48"/>
    </row>
    <row r="76" spans="4:8">
      <c r="D76" s="47"/>
      <c r="E76" s="52"/>
      <c r="F76" s="50"/>
      <c r="G76" s="47"/>
      <c r="H76" s="48"/>
    </row>
    <row r="77" spans="4:8">
      <c r="D77" s="47"/>
      <c r="E77" s="52"/>
      <c r="F77" s="50"/>
      <c r="G77" s="47"/>
      <c r="H77" s="48"/>
    </row>
    <row r="78" spans="4:8" ht="14.5">
      <c r="D78" s="47"/>
      <c r="E78" s="49"/>
      <c r="F78" s="50"/>
      <c r="G78" s="47"/>
      <c r="H78" s="48"/>
    </row>
    <row r="79" spans="4:8" ht="14.5">
      <c r="D79" s="47"/>
      <c r="E79" s="49"/>
      <c r="F79" s="50"/>
      <c r="G79" s="47"/>
      <c r="H79" s="48"/>
    </row>
    <row r="80" spans="4:8" ht="14.5">
      <c r="D80" s="47"/>
      <c r="E80" s="49"/>
      <c r="F80" s="50"/>
      <c r="G80" s="47"/>
      <c r="H80" s="48"/>
    </row>
    <row r="81" spans="4:8" ht="14.5">
      <c r="D81" s="47"/>
      <c r="E81" s="49"/>
      <c r="F81" s="50"/>
      <c r="G81" s="47"/>
      <c r="H81" s="48"/>
    </row>
    <row r="82" spans="4:8" ht="14.5">
      <c r="D82" s="47"/>
      <c r="E82" s="49"/>
      <c r="F82" s="50"/>
      <c r="G82" s="47"/>
      <c r="H82" s="48"/>
    </row>
    <row r="83" spans="4:8" ht="14.5">
      <c r="D83" s="47"/>
      <c r="E83" s="49"/>
      <c r="F83" s="50"/>
      <c r="G83" s="47"/>
      <c r="H83" s="48"/>
    </row>
    <row r="84" spans="4:8" ht="14.5">
      <c r="D84" s="47"/>
      <c r="E84" s="49"/>
      <c r="F84" s="50"/>
      <c r="G84" s="47"/>
      <c r="H84" s="48"/>
    </row>
    <row r="85" spans="4:8" ht="14.5">
      <c r="D85" s="47"/>
      <c r="E85" s="49"/>
      <c r="F85" s="50"/>
      <c r="G85" s="47"/>
      <c r="H85" s="48"/>
    </row>
    <row r="86" spans="4:8">
      <c r="D86" s="47"/>
      <c r="E86" s="47"/>
      <c r="F86" s="47"/>
      <c r="G86" s="47"/>
      <c r="H86" s="48"/>
    </row>
    <row r="87" spans="4:8">
      <c r="D87" s="47"/>
      <c r="E87" s="47"/>
      <c r="F87" s="47"/>
      <c r="G87" s="47"/>
      <c r="H87" s="48"/>
    </row>
  </sheetData>
  <mergeCells count="27">
    <mergeCell ref="A58:S60"/>
    <mergeCell ref="A61:B62"/>
    <mergeCell ref="C61:G62"/>
    <mergeCell ref="H61:L62"/>
    <mergeCell ref="M61:S62"/>
    <mergeCell ref="A55:S57"/>
    <mergeCell ref="G4:G5"/>
    <mergeCell ref="H4:S4"/>
    <mergeCell ref="B6:B13"/>
    <mergeCell ref="B14:B16"/>
    <mergeCell ref="B17:B20"/>
    <mergeCell ref="B21:B27"/>
    <mergeCell ref="B28:B35"/>
    <mergeCell ref="B36:B38"/>
    <mergeCell ref="B39:B42"/>
    <mergeCell ref="B43:B45"/>
    <mergeCell ref="B46:B49"/>
    <mergeCell ref="A1:P3"/>
    <mergeCell ref="R1:S1"/>
    <mergeCell ref="R2:S2"/>
    <mergeCell ref="R3:S3"/>
    <mergeCell ref="A4:A5"/>
    <mergeCell ref="B4:B5"/>
    <mergeCell ref="C4:C5"/>
    <mergeCell ref="D4:D5"/>
    <mergeCell ref="E4:E5"/>
    <mergeCell ref="F4:F5"/>
  </mergeCells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Anual PM Record 24-25</vt:lpstr>
      <vt:lpstr>Pm Record 24-25</vt:lpstr>
      <vt:lpstr>Annual PM record 25-26</vt:lpstr>
      <vt:lpstr>Sheet1</vt:lpstr>
      <vt:lpstr>Annual PM record 2026-27</vt:lpstr>
      <vt:lpstr>'Annual PM record 25-26'!Print_Area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Maintenance2 Chakan</dc:creator>
  <cp:lastModifiedBy>Kedar Anil Phatak</cp:lastModifiedBy>
  <cp:lastPrinted>2026-02-10T05:50:59Z</cp:lastPrinted>
  <dcterms:created xsi:type="dcterms:W3CDTF">2026-01-21T17:17:29Z</dcterms:created>
  <dcterms:modified xsi:type="dcterms:W3CDTF">2026-05-15T07:16:17Z</dcterms:modified>
  <cp:version>144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