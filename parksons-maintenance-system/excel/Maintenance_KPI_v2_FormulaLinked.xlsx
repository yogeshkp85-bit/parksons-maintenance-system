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 Profile\Yogesh Patil\Desktop\MTBF MTTR\"/>
    </mc:Choice>
  </mc:AlternateContent>
  <bookViews>
    <workbookView xWindow="0" yWindow="0" windowWidth="16380" windowHeight="8190" tabRatio="500" firstSheet="1" activeTab="2"/>
  </bookViews>
  <sheets>
    <sheet name="📊 DASHBOARD" sheetId="1" r:id="rId1"/>
    <sheet name="FY 2024-25 Data" sheetId="2" r:id="rId2"/>
    <sheet name="FY 2025-26 Data" sheetId="3" r:id="rId3"/>
    <sheet name="Chart Data" sheetId="4" r:id="rId4"/>
    <sheet name="Monthly Detail" sheetId="5" r:id="rId5"/>
    <sheet name="Machine Comparison" sheetId="6" r:id="rId6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2" i="6" l="1"/>
  <c r="I12" i="6"/>
  <c r="C12" i="6"/>
  <c r="S11" i="6"/>
  <c r="R11" i="6"/>
  <c r="P11" i="6"/>
  <c r="O11" i="6"/>
  <c r="M11" i="6"/>
  <c r="L11" i="6"/>
  <c r="J11" i="6"/>
  <c r="I11" i="6"/>
  <c r="G11" i="6"/>
  <c r="F11" i="6"/>
  <c r="D11" i="6"/>
  <c r="C11" i="6"/>
  <c r="B11" i="6"/>
  <c r="S10" i="6"/>
  <c r="R10" i="6"/>
  <c r="P10" i="6"/>
  <c r="O10" i="6"/>
  <c r="M10" i="6"/>
  <c r="L10" i="6"/>
  <c r="J10" i="6"/>
  <c r="I10" i="6"/>
  <c r="G10" i="6"/>
  <c r="F10" i="6"/>
  <c r="D10" i="6"/>
  <c r="C10" i="6"/>
  <c r="B10" i="6"/>
  <c r="S9" i="6"/>
  <c r="R9" i="6"/>
  <c r="P9" i="6"/>
  <c r="O9" i="6"/>
  <c r="M9" i="6"/>
  <c r="L9" i="6"/>
  <c r="J9" i="6"/>
  <c r="I9" i="6"/>
  <c r="G9" i="6"/>
  <c r="F9" i="6"/>
  <c r="D9" i="6"/>
  <c r="C9" i="6"/>
  <c r="B9" i="6"/>
  <c r="S8" i="6"/>
  <c r="R8" i="6"/>
  <c r="P8" i="6"/>
  <c r="O8" i="6"/>
  <c r="M8" i="6"/>
  <c r="L8" i="6"/>
  <c r="J8" i="6"/>
  <c r="I8" i="6"/>
  <c r="G8" i="6"/>
  <c r="F8" i="6"/>
  <c r="D8" i="6"/>
  <c r="C8" i="6"/>
  <c r="B8" i="6"/>
  <c r="S7" i="6"/>
  <c r="R7" i="6"/>
  <c r="P7" i="6"/>
  <c r="O7" i="6"/>
  <c r="M7" i="6"/>
  <c r="L7" i="6"/>
  <c r="J7" i="6"/>
  <c r="I7" i="6"/>
  <c r="G7" i="6"/>
  <c r="F7" i="6"/>
  <c r="D7" i="6"/>
  <c r="C7" i="6"/>
  <c r="B7" i="6"/>
  <c r="K19" i="5"/>
  <c r="I19" i="5"/>
  <c r="F19" i="5"/>
  <c r="B19" i="5"/>
  <c r="R18" i="5"/>
  <c r="Q18" i="5"/>
  <c r="P18" i="5"/>
  <c r="N18" i="5"/>
  <c r="M18" i="5"/>
  <c r="L18" i="5"/>
  <c r="K18" i="5"/>
  <c r="J18" i="5"/>
  <c r="I18" i="5"/>
  <c r="G18" i="5"/>
  <c r="F18" i="5"/>
  <c r="E18" i="5"/>
  <c r="D18" i="5"/>
  <c r="C18" i="5"/>
  <c r="B18" i="5"/>
  <c r="R17" i="5"/>
  <c r="Q17" i="5"/>
  <c r="P17" i="5"/>
  <c r="N17" i="5"/>
  <c r="M17" i="5"/>
  <c r="L17" i="5"/>
  <c r="K17" i="5"/>
  <c r="J17" i="5"/>
  <c r="I17" i="5"/>
  <c r="G17" i="5"/>
  <c r="F17" i="5"/>
  <c r="E17" i="5"/>
  <c r="D17" i="5"/>
  <c r="C17" i="5"/>
  <c r="B17" i="5"/>
  <c r="R16" i="5"/>
  <c r="Q16" i="5"/>
  <c r="P16" i="5"/>
  <c r="N16" i="5"/>
  <c r="M16" i="5"/>
  <c r="L16" i="5"/>
  <c r="K16" i="5"/>
  <c r="J16" i="5"/>
  <c r="I16" i="5"/>
  <c r="G16" i="5"/>
  <c r="F16" i="5"/>
  <c r="E16" i="5"/>
  <c r="D16" i="5"/>
  <c r="C16" i="5"/>
  <c r="B16" i="5"/>
  <c r="R15" i="5"/>
  <c r="Q15" i="5"/>
  <c r="P15" i="5"/>
  <c r="N15" i="5"/>
  <c r="M15" i="5"/>
  <c r="L15" i="5"/>
  <c r="K15" i="5"/>
  <c r="J15" i="5"/>
  <c r="I15" i="5"/>
  <c r="G15" i="5"/>
  <c r="F15" i="5"/>
  <c r="E15" i="5"/>
  <c r="D15" i="5"/>
  <c r="C15" i="5"/>
  <c r="B15" i="5"/>
  <c r="R14" i="5"/>
  <c r="Q14" i="5"/>
  <c r="P14" i="5"/>
  <c r="N14" i="5"/>
  <c r="M14" i="5"/>
  <c r="L14" i="5"/>
  <c r="K14" i="5"/>
  <c r="J14" i="5"/>
  <c r="I14" i="5"/>
  <c r="G14" i="5"/>
  <c r="F14" i="5"/>
  <c r="E14" i="5"/>
  <c r="D14" i="5"/>
  <c r="C14" i="5"/>
  <c r="B14" i="5"/>
  <c r="R13" i="5"/>
  <c r="Q13" i="5"/>
  <c r="P13" i="5"/>
  <c r="N13" i="5"/>
  <c r="M13" i="5"/>
  <c r="L13" i="5"/>
  <c r="K13" i="5"/>
  <c r="J13" i="5"/>
  <c r="I13" i="5"/>
  <c r="G13" i="5"/>
  <c r="F13" i="5"/>
  <c r="E13" i="5"/>
  <c r="D13" i="5"/>
  <c r="C13" i="5"/>
  <c r="B13" i="5"/>
  <c r="R12" i="5"/>
  <c r="Q12" i="5"/>
  <c r="P12" i="5"/>
  <c r="N12" i="5"/>
  <c r="M12" i="5"/>
  <c r="L12" i="5"/>
  <c r="K12" i="5"/>
  <c r="J12" i="5"/>
  <c r="I12" i="5"/>
  <c r="G12" i="5"/>
  <c r="F12" i="5"/>
  <c r="E12" i="5"/>
  <c r="D12" i="5"/>
  <c r="C12" i="5"/>
  <c r="B12" i="5"/>
  <c r="R11" i="5"/>
  <c r="Q11" i="5"/>
  <c r="P11" i="5"/>
  <c r="N11" i="5"/>
  <c r="M11" i="5"/>
  <c r="L11" i="5"/>
  <c r="K11" i="5"/>
  <c r="J11" i="5"/>
  <c r="I11" i="5"/>
  <c r="G11" i="5"/>
  <c r="F11" i="5"/>
  <c r="E11" i="5"/>
  <c r="D11" i="5"/>
  <c r="C11" i="5"/>
  <c r="B11" i="5"/>
  <c r="R10" i="5"/>
  <c r="Q10" i="5"/>
  <c r="P10" i="5"/>
  <c r="N10" i="5"/>
  <c r="M10" i="5"/>
  <c r="L10" i="5"/>
  <c r="K10" i="5"/>
  <c r="J10" i="5"/>
  <c r="I10" i="5"/>
  <c r="G10" i="5"/>
  <c r="F10" i="5"/>
  <c r="E10" i="5"/>
  <c r="D10" i="5"/>
  <c r="C10" i="5"/>
  <c r="B10" i="5"/>
  <c r="R9" i="5"/>
  <c r="Q9" i="5"/>
  <c r="P9" i="5"/>
  <c r="N9" i="5"/>
  <c r="M9" i="5"/>
  <c r="L9" i="5"/>
  <c r="K9" i="5"/>
  <c r="J9" i="5"/>
  <c r="I9" i="5"/>
  <c r="G9" i="5"/>
  <c r="F9" i="5"/>
  <c r="E9" i="5"/>
  <c r="D9" i="5"/>
  <c r="C9" i="5"/>
  <c r="B9" i="5"/>
  <c r="R8" i="5"/>
  <c r="Q8" i="5"/>
  <c r="P8" i="5"/>
  <c r="N8" i="5"/>
  <c r="M8" i="5"/>
  <c r="L8" i="5"/>
  <c r="K8" i="5"/>
  <c r="J8" i="5"/>
  <c r="I8" i="5"/>
  <c r="G8" i="5"/>
  <c r="F8" i="5"/>
  <c r="E8" i="5"/>
  <c r="D8" i="5"/>
  <c r="C8" i="5"/>
  <c r="B8" i="5"/>
  <c r="R7" i="5"/>
  <c r="Q7" i="5"/>
  <c r="P7" i="5"/>
  <c r="N7" i="5"/>
  <c r="M7" i="5"/>
  <c r="L7" i="5"/>
  <c r="K7" i="5"/>
  <c r="J7" i="5"/>
  <c r="I7" i="5"/>
  <c r="G7" i="5"/>
  <c r="F7" i="5"/>
  <c r="E7" i="5"/>
  <c r="D7" i="5"/>
  <c r="C7" i="5"/>
  <c r="B7" i="5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O23" i="4"/>
  <c r="N23" i="4"/>
  <c r="M23" i="4"/>
  <c r="K23" i="4"/>
  <c r="J23" i="4"/>
  <c r="I23" i="4"/>
  <c r="G23" i="4"/>
  <c r="F23" i="4"/>
  <c r="E23" i="4"/>
  <c r="C23" i="4"/>
  <c r="B23" i="4"/>
  <c r="A23" i="4"/>
  <c r="O22" i="4"/>
  <c r="N22" i="4"/>
  <c r="M22" i="4"/>
  <c r="K22" i="4"/>
  <c r="J22" i="4"/>
  <c r="I22" i="4"/>
  <c r="G22" i="4"/>
  <c r="F22" i="4"/>
  <c r="E22" i="4"/>
  <c r="C22" i="4"/>
  <c r="B22" i="4"/>
  <c r="A22" i="4"/>
  <c r="O21" i="4"/>
  <c r="N21" i="4"/>
  <c r="M21" i="4"/>
  <c r="K21" i="4"/>
  <c r="J21" i="4"/>
  <c r="I21" i="4"/>
  <c r="G21" i="4"/>
  <c r="F21" i="4"/>
  <c r="E21" i="4"/>
  <c r="C21" i="4"/>
  <c r="B21" i="4"/>
  <c r="A21" i="4"/>
  <c r="O20" i="4"/>
  <c r="N20" i="4"/>
  <c r="M20" i="4"/>
  <c r="K20" i="4"/>
  <c r="J20" i="4"/>
  <c r="I20" i="4"/>
  <c r="G20" i="4"/>
  <c r="F20" i="4"/>
  <c r="E20" i="4"/>
  <c r="C20" i="4"/>
  <c r="B20" i="4"/>
  <c r="A20" i="4"/>
  <c r="O19" i="4"/>
  <c r="N19" i="4"/>
  <c r="M19" i="4"/>
  <c r="K19" i="4"/>
  <c r="J19" i="4"/>
  <c r="I19" i="4"/>
  <c r="G19" i="4"/>
  <c r="F19" i="4"/>
  <c r="E19" i="4"/>
  <c r="C19" i="4"/>
  <c r="B19" i="4"/>
  <c r="A19" i="4"/>
  <c r="O15" i="4"/>
  <c r="N15" i="4"/>
  <c r="M15" i="4"/>
  <c r="K15" i="4"/>
  <c r="J15" i="4"/>
  <c r="I15" i="4"/>
  <c r="G15" i="4"/>
  <c r="F15" i="4"/>
  <c r="E15" i="4"/>
  <c r="C15" i="4"/>
  <c r="B15" i="4"/>
  <c r="A15" i="4"/>
  <c r="O14" i="4"/>
  <c r="N14" i="4"/>
  <c r="M14" i="4"/>
  <c r="K14" i="4"/>
  <c r="J14" i="4"/>
  <c r="I14" i="4"/>
  <c r="G14" i="4"/>
  <c r="F14" i="4"/>
  <c r="E14" i="4"/>
  <c r="C14" i="4"/>
  <c r="B14" i="4"/>
  <c r="A14" i="4"/>
  <c r="O13" i="4"/>
  <c r="N13" i="4"/>
  <c r="M13" i="4"/>
  <c r="K13" i="4"/>
  <c r="J13" i="4"/>
  <c r="I13" i="4"/>
  <c r="G13" i="4"/>
  <c r="F13" i="4"/>
  <c r="E13" i="4"/>
  <c r="C13" i="4"/>
  <c r="B13" i="4"/>
  <c r="A13" i="4"/>
  <c r="O12" i="4"/>
  <c r="N12" i="4"/>
  <c r="M12" i="4"/>
  <c r="K12" i="4"/>
  <c r="J12" i="4"/>
  <c r="I12" i="4"/>
  <c r="G12" i="4"/>
  <c r="F12" i="4"/>
  <c r="E12" i="4"/>
  <c r="C12" i="4"/>
  <c r="B12" i="4"/>
  <c r="A12" i="4"/>
  <c r="O11" i="4"/>
  <c r="N11" i="4"/>
  <c r="M11" i="4"/>
  <c r="K11" i="4"/>
  <c r="J11" i="4"/>
  <c r="I11" i="4"/>
  <c r="G11" i="4"/>
  <c r="F11" i="4"/>
  <c r="E11" i="4"/>
  <c r="C11" i="4"/>
  <c r="B11" i="4"/>
  <c r="A11" i="4"/>
  <c r="O10" i="4"/>
  <c r="N10" i="4"/>
  <c r="M10" i="4"/>
  <c r="K10" i="4"/>
  <c r="J10" i="4"/>
  <c r="I10" i="4"/>
  <c r="G10" i="4"/>
  <c r="F10" i="4"/>
  <c r="E10" i="4"/>
  <c r="C10" i="4"/>
  <c r="B10" i="4"/>
  <c r="A10" i="4"/>
  <c r="O9" i="4"/>
  <c r="N9" i="4"/>
  <c r="M9" i="4"/>
  <c r="K9" i="4"/>
  <c r="J9" i="4"/>
  <c r="I9" i="4"/>
  <c r="G9" i="4"/>
  <c r="F9" i="4"/>
  <c r="E9" i="4"/>
  <c r="C9" i="4"/>
  <c r="B9" i="4"/>
  <c r="A9" i="4"/>
  <c r="O8" i="4"/>
  <c r="N8" i="4"/>
  <c r="M8" i="4"/>
  <c r="K8" i="4"/>
  <c r="J8" i="4"/>
  <c r="I8" i="4"/>
  <c r="G8" i="4"/>
  <c r="F8" i="4"/>
  <c r="E8" i="4"/>
  <c r="C8" i="4"/>
  <c r="B8" i="4"/>
  <c r="A8" i="4"/>
  <c r="O7" i="4"/>
  <c r="N7" i="4"/>
  <c r="M7" i="4"/>
  <c r="K7" i="4"/>
  <c r="J7" i="4"/>
  <c r="I7" i="4"/>
  <c r="G7" i="4"/>
  <c r="F7" i="4"/>
  <c r="E7" i="4"/>
  <c r="C7" i="4"/>
  <c r="B7" i="4"/>
  <c r="A7" i="4"/>
  <c r="O6" i="4"/>
  <c r="N6" i="4"/>
  <c r="M6" i="4"/>
  <c r="K6" i="4"/>
  <c r="J6" i="4"/>
  <c r="I6" i="4"/>
  <c r="G6" i="4"/>
  <c r="F6" i="4"/>
  <c r="E6" i="4"/>
  <c r="C6" i="4"/>
  <c r="B6" i="4"/>
  <c r="A6" i="4"/>
  <c r="O5" i="4"/>
  <c r="N5" i="4"/>
  <c r="M5" i="4"/>
  <c r="K5" i="4"/>
  <c r="J5" i="4"/>
  <c r="I5" i="4"/>
  <c r="G5" i="4"/>
  <c r="F5" i="4"/>
  <c r="E5" i="4"/>
  <c r="C5" i="4"/>
  <c r="B5" i="4"/>
  <c r="A5" i="4"/>
  <c r="O4" i="4"/>
  <c r="N4" i="4"/>
  <c r="M4" i="4"/>
  <c r="K4" i="4"/>
  <c r="J4" i="4"/>
  <c r="I4" i="4"/>
  <c r="G4" i="4"/>
  <c r="F4" i="4"/>
  <c r="E4" i="4"/>
  <c r="C4" i="4"/>
  <c r="B4" i="4"/>
  <c r="A4" i="4"/>
  <c r="F27" i="3"/>
  <c r="M12" i="6" s="1"/>
  <c r="E27" i="3"/>
  <c r="R12" i="6" s="1"/>
  <c r="D27" i="3"/>
  <c r="S12" i="6" s="1"/>
  <c r="C27" i="3"/>
  <c r="G12" i="6" s="1"/>
  <c r="B27" i="3"/>
  <c r="D12" i="6" s="1"/>
  <c r="G18" i="3"/>
  <c r="N19" i="5" s="1"/>
  <c r="F18" i="3"/>
  <c r="N11" i="1" s="1"/>
  <c r="E18" i="3"/>
  <c r="L19" i="5" s="1"/>
  <c r="D18" i="3"/>
  <c r="C18" i="3"/>
  <c r="B18" i="3"/>
  <c r="J19" i="5" s="1"/>
  <c r="F27" i="2"/>
  <c r="L12" i="6" s="1"/>
  <c r="E27" i="2"/>
  <c r="D27" i="2"/>
  <c r="C27" i="2"/>
  <c r="F12" i="6" s="1"/>
  <c r="B27" i="2"/>
  <c r="G18" i="2"/>
  <c r="G19" i="5" s="1"/>
  <c r="F18" i="2"/>
  <c r="E18" i="2"/>
  <c r="E19" i="5" s="1"/>
  <c r="D18" i="2"/>
  <c r="C18" i="2"/>
  <c r="D19" i="5" s="1"/>
  <c r="B18" i="2"/>
  <c r="B9" i="1" s="1"/>
  <c r="N12" i="1"/>
  <c r="K12" i="1"/>
  <c r="E12" i="1"/>
  <c r="K11" i="1"/>
  <c r="H11" i="1"/>
  <c r="E11" i="1"/>
  <c r="N9" i="1"/>
  <c r="K9" i="1"/>
  <c r="H9" i="1"/>
  <c r="E9" i="1"/>
  <c r="C19" i="5" l="1"/>
  <c r="Q19" i="5"/>
  <c r="J12" i="6"/>
  <c r="P12" i="6"/>
  <c r="P19" i="5"/>
  <c r="H12" i="1"/>
  <c r="M19" i="5"/>
  <c r="R19" i="5"/>
  <c r="B12" i="1"/>
  <c r="B11" i="1"/>
</calcChain>
</file>

<file path=xl/sharedStrings.xml><?xml version="1.0" encoding="utf-8"?>
<sst xmlns="http://schemas.openxmlformats.org/spreadsheetml/2006/main" count="176" uniqueCount="98">
  <si>
    <t>PARKSONS PACKAGING LTD  |  MAINTENANCE KPI ANALYSIS  |  FY 2024-25 vs FY 2025-26</t>
  </si>
  <si>
    <t>Printing Section  ·  KBA-1  ·  KBA-2  ·  KBA-3  ·  CX-1  ·  CX-2  |  All values formula-linked — update the FY data sheets to refresh everything</t>
  </si>
  <si>
    <t>AVG  MTBF</t>
  </si>
  <si>
    <t>AVG  MTTR</t>
  </si>
  <si>
    <t>BREAKDOWNS</t>
  </si>
  <si>
    <t>DOWNTIME</t>
  </si>
  <si>
    <t>AVAILABILITY</t>
  </si>
  <si>
    <t>FY 2024-25</t>
  </si>
  <si>
    <t>FY 2025-26</t>
  </si>
  <si>
    <t>✅  Edit 'FY 2024-25 Data' or 'FY 2025-26 Data' sheets → ALL values, charts, and % changes update instantly</t>
  </si>
  <si>
    <t>◆  BREAKDOWN COUNT  (Monthly)</t>
  </si>
  <si>
    <t>◆  DOWNTIME HOURS  (Monthly)</t>
  </si>
  <si>
    <t>◆  MTBF TREND  (Monthly Avg)</t>
  </si>
  <si>
    <t>◆  MTTR TREND  (Monthly Avg)</t>
  </si>
  <si>
    <t>◆  MACHINE MTBF  (Annual Avg)</t>
  </si>
  <si>
    <t>◆  MACHINE BD COUNT  (Annual)</t>
  </si>
  <si>
    <t>◆  AVAILABILITY TREND  (Monthly %)</t>
  </si>
  <si>
    <t>◆  MACHINE AVAILABILITY  (Annual %)</t>
  </si>
  <si>
    <t>Parksons Packaging Ltd  |  Maintenance Engineering  |  Printing Section  |  FY 2024-25 vs FY 2025-26</t>
  </si>
  <si>
    <t>FY 2024-25 — Monthly &amp; Machine KPI Data  |  Printing Section</t>
  </si>
  <si>
    <t>✏️  EDIT ONLY THIS SHEET — all other sheets update automatically via formulas</t>
  </si>
  <si>
    <t>MONTHLY DATA</t>
  </si>
  <si>
    <t>Month</t>
  </si>
  <si>
    <t>Avg MTBF
(min)</t>
  </si>
  <si>
    <t>Avg MTTR
(min)</t>
  </si>
  <si>
    <t>Total Down
(min)</t>
  </si>
  <si>
    <t>Total BD
Count</t>
  </si>
  <si>
    <t>Avg Avail
(%)</t>
  </si>
  <si>
    <t>Down Hrs
(Total)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</si>
  <si>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</si>
  <si>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</si>
  <si>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</si>
  <si>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</si>
  <si>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</si>
  <si>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</si>
  <si>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</si>
  <si>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</si>
  <si>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</si>
  <si>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</si>
  <si>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</si>
  <si>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</si>
  <si>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TOTAL / AVG</t>
  </si>
  <si>
    <t>MACHINE DATA (Annual Averages)</t>
  </si>
  <si>
    <t>Machine</t>
  </si>
  <si>
    <t>Down Hrs
(Annual)</t>
  </si>
  <si>
    <t>KBA-1</t>
  </si>
  <si>
    <t>KBA-2</t>
  </si>
  <si>
    <t>KBA-3</t>
  </si>
  <si>
    <t>CX-1</t>
  </si>
  <si>
    <t>CX-2</t>
  </si>
  <si>
    <t>FLEET AVG/TOT</t>
  </si>
  <si>
    <t>⬆  Edit rows 6–17 (monthly) and rows 22–26 (machine) — totals recalculate automatically</t>
  </si>
  <si>
    <t>FY 2025-26 — Monthly &amp; Machine KPI Data  |  Printing Section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</si>
  <si>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</si>
  <si>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</si>
  <si>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</si>
  <si>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</si>
  <si>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</si>
  <si>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</si>
  <si>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</si>
  <si>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</si>
  <si>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</si>
  <si>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</si>
  <si>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</si>
  <si>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</si>
  <si>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⬅  CHART DATA — All cells are formula-linked to FY data sheets. DO NOT edit here.</t>
  </si>
  <si>
    <t>BD Count (Monthly)</t>
  </si>
  <si>
    <t>Downtime Hrs (Monthly)</t>
  </si>
  <si>
    <t>MTBF Avg (Monthly)</t>
  </si>
  <si>
    <t>MTTR Avg (Monthly)</t>
  </si>
  <si>
    <t>Month/Machine</t>
  </si>
  <si>
    <t>Availability % (Monthly)</t>
  </si>
  <si>
    <t>Machine MTBF</t>
  </si>
  <si>
    <t>Machine BD Count</t>
  </si>
  <si>
    <t>Machine Availability %</t>
  </si>
  <si>
    <t>MONTHLY DETAIL — FY 2024-25 vs FY 2025-26  |  Formula-Linked — Updates Automatically</t>
  </si>
  <si>
    <t>✏️  Edit FY data sheets → this table updates automatically</t>
  </si>
  <si>
    <t>◀  FY 2024-25</t>
  </si>
  <si>
    <t>◀  FY 2025-26</t>
  </si>
  <si>
    <t>YoY Change ▶</t>
  </si>
  <si>
    <t>MTBF</t>
  </si>
  <si>
    <t>MTTR</t>
  </si>
  <si>
    <t>BD
Count</t>
  </si>
  <si>
    <t>Avail
%</t>
  </si>
  <si>
    <t>Down
Hrs</t>
  </si>
  <si>
    <t>BD %
Change</t>
  </si>
  <si>
    <t>DT %
Change</t>
  </si>
  <si>
    <t>Avail %
Change</t>
  </si>
  <si>
    <t>MACHINE-WISE KPI COMPARISON  |  Formula-Linked — Updates Automatically</t>
  </si>
  <si>
    <t>✏️  Edit machine rows in FY data sheets → this table updates automatically</t>
  </si>
  <si>
    <t>MTBF (min)</t>
  </si>
  <si>
    <t>MTTR (min)</t>
  </si>
  <si>
    <t>BD Count</t>
  </si>
  <si>
    <t>Availability%</t>
  </si>
  <si>
    <t>Down Hrs</t>
  </si>
  <si>
    <t>YoY Change</t>
  </si>
  <si>
    <t>BD %</t>
  </si>
  <si>
    <t>DT Hrs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</si>
</sst>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\+0.00%;\-0.00%"/>
    <numFmt numFmtId="166" formatCode="0.0%;\(0.0%\)"/>
  </numFmts>
  <fonts count="31" x14ac:knownFonts="1">
    <font>
      <sz val="11"/>
      <color theme="1"/>
      <name val="Calibri"/>
      <family val="2"/>
      <charset val="1"/>
    </font>
    <font>
      <b/>
      <sz val="15"/>
      <color rgb="FF00B4D8"/>
      <name val="Calibri"/>
      <family val="2"/>
    </font>
    <font>
      <sz val="9"/>
      <color rgb="FF7A93B0"/>
      <name val="Calibri"/>
      <family val="2"/>
    </font>
    <font>
      <b/>
      <sz val="9"/>
      <color rgb="FFD0E4F0"/>
      <name val="Calibri"/>
      <family val="2"/>
    </font>
    <font>
      <sz val="8"/>
      <color rgb="FF00B4D8"/>
      <name val="Calibri"/>
      <family val="2"/>
    </font>
    <font>
      <b/>
      <sz val="14"/>
      <color rgb="FF00B4D8"/>
      <name val="Calibri"/>
      <family val="2"/>
    </font>
    <font>
      <sz val="8"/>
      <color rgb="FFF4722B"/>
      <name val="Calibri"/>
      <family val="2"/>
    </font>
    <font>
      <b/>
      <sz val="14"/>
      <color rgb="FFF4722B"/>
      <name val="Calibri"/>
      <family val="2"/>
    </font>
    <font>
      <b/>
      <sz val="11"/>
      <color rgb="FF00C853"/>
      <name val="Calibri"/>
      <family val="2"/>
    </font>
    <font>
      <b/>
      <sz val="12"/>
      <color rgb="FFFFFFFF"/>
      <name val="Calibri"/>
      <family val="2"/>
    </font>
    <font>
      <b/>
      <sz val="9"/>
      <color rgb="FF00C853"/>
      <name val="Calibri"/>
      <family val="2"/>
    </font>
    <font>
      <b/>
      <sz val="10"/>
      <color rgb="FF00B4D8"/>
      <name val="Calibri"/>
      <family val="2"/>
    </font>
    <font>
      <b/>
      <sz val="10"/>
      <color rgb="FFF4722B"/>
      <name val="Calibri"/>
      <family val="2"/>
    </font>
    <font>
      <b/>
      <sz val="10"/>
      <color rgb="FF00C853"/>
      <name val="Calibri"/>
      <family val="2"/>
    </font>
    <font>
      <b/>
      <sz val="9"/>
      <color rgb="FF00B4D8"/>
      <name val="Calibri"/>
      <family val="2"/>
    </font>
    <font>
      <b/>
      <sz val="11"/>
      <color rgb="FFD0E4F0"/>
      <name val="Calibri"/>
      <family val="2"/>
    </font>
    <font>
      <sz val="11"/>
      <color rgb="FF00B4D8"/>
      <name val="Calibri"/>
      <family val="2"/>
    </font>
    <font>
      <b/>
      <sz val="11"/>
      <color rgb="FF00B4D8"/>
      <name val="Calibri"/>
      <family val="2"/>
    </font>
    <font>
      <sz val="8"/>
      <color rgb="FF7A93B0"/>
      <name val="Calibri"/>
      <family val="2"/>
    </font>
    <font>
      <b/>
      <sz val="9"/>
      <color rgb="FFF4722B"/>
      <name val="Calibri"/>
      <family val="2"/>
    </font>
    <font>
      <sz val="11"/>
      <color rgb="FFF4722B"/>
      <name val="Calibri"/>
      <family val="2"/>
    </font>
    <font>
      <b/>
      <sz val="11"/>
      <color rgb="FFF4722B"/>
      <name val="Calibri"/>
      <family val="2"/>
    </font>
    <font>
      <sz val="10"/>
      <color rgb="FFD0E4F0"/>
      <name val="Calibri"/>
      <family val="2"/>
    </font>
    <font>
      <sz val="10"/>
      <color rgb="FF00B4D8"/>
      <name val="Calibri"/>
      <family val="2"/>
    </font>
    <font>
      <sz val="10"/>
      <color rgb="FFF4722B"/>
      <name val="Calibri"/>
      <family val="2"/>
    </font>
    <font>
      <sz val="9"/>
      <color rgb="FF00C853"/>
      <name val="Calibri"/>
      <family val="2"/>
    </font>
    <font>
      <sz val="11"/>
      <color rgb="FFFFFFFF"/>
      <name val="Calibri"/>
      <family val="2"/>
    </font>
    <font>
      <b/>
      <sz val="10"/>
      <color rgb="FFD0E4F0"/>
      <name val="Calibri"/>
      <family val="2"/>
    </font>
    <font>
      <sz val="10"/>
      <color rgb="FFFFFFFF"/>
      <name val="Calibri"/>
      <family val="2"/>
    </font>
    <font>
      <b/>
      <sz val="14"/>
      <color rgb="FF00C853"/>
      <name val="Calibri"/>
      <family val="2"/>
    </font>
    <font>
      <b/>
      <sz val="9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02030"/>
      </patternFill>
    </fill>
    <fill>
      <patternFill patternType="solid">
        <fgColor rgb="FF1A2F4A"/>
        <bgColor rgb="FF1E3A5A"/>
      </patternFill>
    </fill>
    <fill>
      <patternFill patternType="solid">
        <fgColor rgb="FF00C853"/>
        <bgColor rgb="FF00B4D8"/>
      </patternFill>
    </fill>
    <fill>
      <patternFill patternType="solid">
        <fgColor rgb="FF00B4D8"/>
        <bgColor rgb="FF33CCCC"/>
      </patternFill>
    </fill>
    <fill>
      <patternFill patternType="solid">
        <fgColor rgb="FF102030"/>
        <bgColor rgb="FF0F2035"/>
      </patternFill>
    </fill>
    <fill>
      <patternFill patternType="solid">
        <fgColor rgb="FF0F2035"/>
        <bgColor rgb="FF102030"/>
      </patternFill>
    </fill>
    <fill>
      <patternFill patternType="solid">
        <fgColor rgb="FF0A3D5C"/>
        <bgColor rgb="FF1E3A5A"/>
      </patternFill>
    </fill>
    <fill>
      <patternFill patternType="solid">
        <fgColor rgb="FF005F7A"/>
        <bgColor rgb="FF008080"/>
      </patternFill>
    </fill>
    <fill>
      <patternFill patternType="solid">
        <fgColor rgb="FFA34E1E"/>
        <bgColor rgb="FF993366"/>
      </patternFill>
    </fill>
    <fill>
      <patternFill patternType="solid">
        <fgColor rgb="FF1B4332"/>
        <bgColor rgb="FF1E3A5A"/>
      </patternFill>
    </fill>
  </fills>
  <borders count="2">
    <border>
      <left/>
      <right/>
      <top/>
      <bottom/>
      <diagonal/>
    </border>
    <border>
      <left style="thin">
        <color rgb="FF1E3A5A"/>
      </left>
      <right style="thin">
        <color rgb="FF1E3A5A"/>
      </right>
      <top style="thin">
        <color rgb="FF1E3A5A"/>
      </top>
      <bottom style="thin">
        <color rgb="FF1E3A5A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0" fillId="6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65" fontId="8" fillId="3" borderId="0" xfId="0" applyNumberFormat="1" applyFont="1" applyFill="1" applyBorder="1" applyAlignment="1">
      <alignment horizontal="center" vertical="center"/>
    </xf>
    <xf numFmtId="10" fontId="7" fillId="3" borderId="0" xfId="0" applyNumberFormat="1" applyFont="1" applyFill="1" applyBorder="1" applyAlignment="1">
      <alignment horizontal="center" vertical="center"/>
    </xf>
    <xf numFmtId="3" fontId="7" fillId="3" borderId="0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0" fontId="5" fillId="3" borderId="0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11" fillId="3" borderId="1" xfId="0" applyFont="1" applyFill="1" applyBorder="1" applyAlignment="1">
      <alignment horizontal="center" vertical="center" wrapText="1"/>
    </xf>
    <xf numFmtId="49" fontId="15" fillId="6" borderId="1" xfId="0" applyNumberFormat="1" applyFont="1" applyFill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center" vertical="center"/>
    </xf>
    <xf numFmtId="10" fontId="16" fillId="6" borderId="1" xfId="0" applyNumberFormat="1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2" fontId="16" fillId="7" borderId="1" xfId="0" applyNumberFormat="1" applyFont="1" applyFill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10" fontId="16" fillId="7" borderId="1" xfId="0" applyNumberFormat="1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10" fontId="17" fillId="3" borderId="1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49" fontId="16" fillId="7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2" fontId="20" fillId="6" borderId="1" xfId="0" applyNumberFormat="1" applyFont="1" applyFill="1" applyBorder="1" applyAlignment="1">
      <alignment horizontal="center" vertical="center"/>
    </xf>
    <xf numFmtId="3" fontId="20" fillId="6" borderId="1" xfId="0" applyNumberFormat="1" applyFont="1" applyFill="1" applyBorder="1" applyAlignment="1">
      <alignment horizontal="center" vertical="center"/>
    </xf>
    <xf numFmtId="10" fontId="20" fillId="6" borderId="1" xfId="0" applyNumberFormat="1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3" fontId="20" fillId="7" borderId="1" xfId="0" applyNumberFormat="1" applyFont="1" applyFill="1" applyBorder="1" applyAlignment="1">
      <alignment horizontal="center" vertical="center"/>
    </xf>
    <xf numFmtId="10" fontId="20" fillId="7" borderId="1" xfId="0" applyNumberFormat="1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/>
    </xf>
    <xf numFmtId="10" fontId="21" fillId="3" borderId="1" xfId="0" applyNumberFormat="1" applyFont="1" applyFill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49" fontId="20" fillId="6" borderId="1" xfId="0" applyNumberFormat="1" applyFont="1" applyFill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49" fontId="22" fillId="6" borderId="1" xfId="0" applyNumberFormat="1" applyFont="1" applyFill="1" applyBorder="1" applyAlignment="1">
      <alignment horizontal="center" vertical="center"/>
    </xf>
    <xf numFmtId="3" fontId="23" fillId="6" borderId="1" xfId="0" applyNumberFormat="1" applyFont="1" applyFill="1" applyBorder="1" applyAlignment="1">
      <alignment horizontal="center" vertical="center"/>
    </xf>
    <xf numFmtId="3" fontId="24" fillId="6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/>
    </xf>
    <xf numFmtId="49" fontId="22" fillId="7" borderId="1" xfId="0" applyNumberFormat="1" applyFont="1" applyFill="1" applyBorder="1" applyAlignment="1">
      <alignment horizontal="center" vertical="center"/>
    </xf>
    <xf numFmtId="3" fontId="23" fillId="7" borderId="1" xfId="0" applyNumberFormat="1" applyFont="1" applyFill="1" applyBorder="1" applyAlignment="1">
      <alignment horizontal="center" vertical="center"/>
    </xf>
    <xf numFmtId="3" fontId="24" fillId="7" borderId="1" xfId="0" applyNumberFormat="1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center" vertical="center"/>
    </xf>
    <xf numFmtId="164" fontId="24" fillId="7" borderId="1" xfId="0" applyNumberFormat="1" applyFont="1" applyFill="1" applyBorder="1" applyAlignment="1">
      <alignment horizontal="center" vertical="center"/>
    </xf>
    <xf numFmtId="2" fontId="23" fillId="7" borderId="1" xfId="0" applyNumberFormat="1" applyFont="1" applyFill="1" applyBorder="1" applyAlignment="1">
      <alignment horizontal="center" vertical="center"/>
    </xf>
    <xf numFmtId="2" fontId="24" fillId="7" borderId="1" xfId="0" applyNumberFormat="1" applyFont="1" applyFill="1" applyBorder="1" applyAlignment="1">
      <alignment horizontal="center" vertical="center"/>
    </xf>
    <xf numFmtId="2" fontId="23" fillId="6" borderId="1" xfId="0" applyNumberFormat="1" applyFont="1" applyFill="1" applyBorder="1" applyAlignment="1">
      <alignment horizontal="center" vertical="center"/>
    </xf>
    <xf numFmtId="2" fontId="24" fillId="6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49" fontId="27" fillId="7" borderId="1" xfId="0" applyNumberFormat="1" applyFont="1" applyFill="1" applyBorder="1" applyAlignment="1">
      <alignment horizontal="center" vertical="center"/>
    </xf>
    <xf numFmtId="10" fontId="23" fillId="7" borderId="1" xfId="0" applyNumberFormat="1" applyFont="1" applyFill="1" applyBorder="1" applyAlignment="1">
      <alignment horizontal="center" vertical="center"/>
    </xf>
    <xf numFmtId="49" fontId="28" fillId="2" borderId="1" xfId="0" applyNumberFormat="1" applyFont="1" applyFill="1" applyBorder="1" applyAlignment="1">
      <alignment horizontal="center" vertical="center"/>
    </xf>
    <xf numFmtId="10" fontId="24" fillId="7" borderId="1" xfId="0" applyNumberFormat="1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49" fontId="27" fillId="6" borderId="1" xfId="0" applyNumberFormat="1" applyFont="1" applyFill="1" applyBorder="1" applyAlignment="1">
      <alignment horizontal="center" vertical="center"/>
    </xf>
    <xf numFmtId="10" fontId="23" fillId="6" borderId="1" xfId="0" applyNumberFormat="1" applyFont="1" applyFill="1" applyBorder="1" applyAlignment="1">
      <alignment horizontal="center" vertical="center"/>
    </xf>
    <xf numFmtId="10" fontId="24" fillId="6" borderId="1" xfId="0" applyNumberFormat="1" applyFont="1" applyFill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center" vertical="center"/>
    </xf>
    <xf numFmtId="49" fontId="27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10" fontId="11" fillId="3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49" fontId="26" fillId="2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30" fillId="9" borderId="0" xfId="0" applyFont="1" applyFill="1" applyBorder="1" applyAlignment="1">
      <alignment horizontal="center" vertical="center"/>
    </xf>
    <xf numFmtId="0" fontId="30" fillId="10" borderId="0" xfId="0" applyFont="1" applyFill="1" applyBorder="1" applyAlignment="1">
      <alignment horizontal="center" vertical="center"/>
    </xf>
    <xf numFmtId="0" fontId="30" fillId="11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F2035"/>
      <rgbColor rgb="FF808000"/>
      <rgbColor rgb="FF800080"/>
      <rgbColor rgb="FF005F7A"/>
      <rgbColor rgb="FFC0C0C0"/>
      <rgbColor rgb="FF878787"/>
      <rgbColor rgb="FF9999FF"/>
      <rgbColor rgb="FF993366"/>
      <rgbColor rgb="FFFFFFCC"/>
      <rgbColor rgb="FFD0E4F0"/>
      <rgbColor rgb="FF660066"/>
      <rgbColor rgb="FFFF8080"/>
      <rgbColor rgb="FF1E3A5A"/>
      <rgbColor rgb="FFD9D9D9"/>
      <rgbColor rgb="FF0D1B2A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22B"/>
      <rgbColor rgb="FF444455"/>
      <rgbColor rgb="FF7A93B0"/>
      <rgbColor rgb="FF0A3D5C"/>
      <rgbColor rgb="FF00C853"/>
      <rgbColor rgb="FF102030"/>
      <rgbColor rgb="FF1B4332"/>
      <rgbColor rgb="FFA34E1E"/>
      <rgbColor rgb="FF993366"/>
      <rgbColor rgb="FF2D4A7A"/>
      <rgbColor rgb="FF1A2F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Data'!$B$2</c:f>
              <c:strCache>
                <c:ptCount val="1"/>
              </c:strCache>
            </c:strRef>
          </c:tx>
          <c:spPr>
            <a:solidFill>
              <a:srgbClr val="00B4D8"/>
            </a:solidFill>
            <a:ln w="9360">
              <a:solidFill>
                <a:srgbClr val="00B4D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Data'!$B$3:$B$14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99</c:v>
                </c:pt>
                <c:pt idx="2">
                  <c:v>101</c:v>
                </c:pt>
                <c:pt idx="3">
                  <c:v>157</c:v>
                </c:pt>
                <c:pt idx="4">
                  <c:v>161</c:v>
                </c:pt>
                <c:pt idx="5">
                  <c:v>123</c:v>
                </c:pt>
                <c:pt idx="6">
                  <c:v>106</c:v>
                </c:pt>
                <c:pt idx="7">
                  <c:v>119</c:v>
                </c:pt>
                <c:pt idx="8">
                  <c:v>112</c:v>
                </c:pt>
                <c:pt idx="9">
                  <c:v>166</c:v>
                </c:pt>
                <c:pt idx="10">
                  <c:v>138</c:v>
                </c:pt>
                <c:pt idx="11">
                  <c:v>80</c:v>
                </c:pt>
              </c:numCache>
            </c:numRef>
          </c:val>
        </c:ser>
        <c:ser>
          <c:idx val="1"/>
          <c:order val="1"/>
          <c:tx>
            <c:strRef>
              <c:f>'Chart Data'!$C$2</c:f>
              <c:strCache>
                <c:ptCount val="1"/>
              </c:strCache>
            </c:strRef>
          </c:tx>
          <c:spPr>
            <a:solidFill>
              <a:srgbClr val="F4722B"/>
            </a:solidFill>
            <a:ln w="9360">
              <a:solidFill>
                <a:srgbClr val="F4722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Data'!$C$3:$C$14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73</c:v>
                </c:pt>
                <c:pt idx="2">
                  <c:v>32</c:v>
                </c:pt>
                <c:pt idx="3">
                  <c:v>59</c:v>
                </c:pt>
                <c:pt idx="4">
                  <c:v>56</c:v>
                </c:pt>
                <c:pt idx="5">
                  <c:v>24</c:v>
                </c:pt>
                <c:pt idx="6">
                  <c:v>49</c:v>
                </c:pt>
                <c:pt idx="7">
                  <c:v>33</c:v>
                </c:pt>
                <c:pt idx="8">
                  <c:v>31</c:v>
                </c:pt>
                <c:pt idx="9">
                  <c:v>23</c:v>
                </c:pt>
                <c:pt idx="10">
                  <c:v>34</c:v>
                </c:pt>
                <c:pt idx="11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124192"/>
        <c:axId val="892120272"/>
      </c:barChart>
      <c:catAx>
        <c:axId val="892124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0272"/>
        <c:crosses val="autoZero"/>
        <c:auto val="1"/>
        <c:lblAlgn val="ctr"/>
        <c:lblOffset val="100"/>
        <c:noMultiLvlLbl val="0"/>
      </c:catAx>
      <c:valAx>
        <c:axId val="892120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BD Count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41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Data'!$F$2</c:f>
              <c:strCache>
                <c:ptCount val="1"/>
              </c:strCache>
            </c:strRef>
          </c:tx>
          <c:spPr>
            <a:solidFill>
              <a:srgbClr val="00B4D8"/>
            </a:solidFill>
            <a:ln w="9360">
              <a:solidFill>
                <a:srgbClr val="00B4D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Data'!$E$3:$E$14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Data'!$F$3:$F$14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57.4</c:v>
                </c:pt>
                <c:pt idx="2">
                  <c:v>76.2</c:v>
                </c:pt>
                <c:pt idx="3">
                  <c:v>93.4</c:v>
                </c:pt>
                <c:pt idx="4">
                  <c:v>102</c:v>
                </c:pt>
                <c:pt idx="5">
                  <c:v>63.8</c:v>
                </c:pt>
                <c:pt idx="6">
                  <c:v>69.2</c:v>
                </c:pt>
                <c:pt idx="7">
                  <c:v>82.9</c:v>
                </c:pt>
                <c:pt idx="8">
                  <c:v>103.3</c:v>
                </c:pt>
                <c:pt idx="9">
                  <c:v>129.9</c:v>
                </c:pt>
                <c:pt idx="10">
                  <c:v>128.30000000000001</c:v>
                </c:pt>
                <c:pt idx="11">
                  <c:v>91.9</c:v>
                </c:pt>
              </c:numCache>
            </c:numRef>
          </c:val>
        </c:ser>
        <c:ser>
          <c:idx val="1"/>
          <c:order val="1"/>
          <c:tx>
            <c:strRef>
              <c:f>'Chart Data'!$G$2</c:f>
              <c:strCache>
                <c:ptCount val="1"/>
              </c:strCache>
            </c:strRef>
          </c:tx>
          <c:spPr>
            <a:solidFill>
              <a:srgbClr val="F4722B"/>
            </a:solidFill>
            <a:ln w="9360">
              <a:solidFill>
                <a:srgbClr val="F4722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Data'!$E$3:$E$14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Data'!$G$3:$G$14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50.8</c:v>
                </c:pt>
                <c:pt idx="2">
                  <c:v>28.2</c:v>
                </c:pt>
                <c:pt idx="3">
                  <c:v>63.1</c:v>
                </c:pt>
                <c:pt idx="4">
                  <c:v>47.2</c:v>
                </c:pt>
                <c:pt idx="5">
                  <c:v>19.2</c:v>
                </c:pt>
                <c:pt idx="6">
                  <c:v>38.200000000000003</c:v>
                </c:pt>
                <c:pt idx="7">
                  <c:v>32.200000000000003</c:v>
                </c:pt>
                <c:pt idx="8">
                  <c:v>33.799999999999997</c:v>
                </c:pt>
                <c:pt idx="9">
                  <c:v>32</c:v>
                </c:pt>
                <c:pt idx="10">
                  <c:v>40.299999999999997</c:v>
                </c:pt>
                <c:pt idx="11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122232"/>
        <c:axId val="892121056"/>
      </c:barChart>
      <c:catAx>
        <c:axId val="892122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1056"/>
        <c:crosses val="autoZero"/>
        <c:auto val="1"/>
        <c:lblAlgn val="ctr"/>
        <c:lblOffset val="100"/>
        <c:noMultiLvlLbl val="0"/>
      </c:catAx>
      <c:valAx>
        <c:axId val="892121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22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Data'!$J$2</c:f>
              <c:strCache>
                <c:ptCount val="1"/>
              </c:strCache>
            </c:strRef>
          </c:tx>
          <c:spPr>
            <a:ln w="219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Data'!$I$3:$I$14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Data'!$J$3:$J$14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75.61</c:v>
                </c:pt>
                <c:pt idx="2">
                  <c:v>87.39</c:v>
                </c:pt>
                <c:pt idx="3">
                  <c:v>62.21</c:v>
                </c:pt>
                <c:pt idx="4">
                  <c:v>55.67</c:v>
                </c:pt>
                <c:pt idx="5">
                  <c:v>78.03</c:v>
                </c:pt>
                <c:pt idx="6">
                  <c:v>82.29</c:v>
                </c:pt>
                <c:pt idx="7">
                  <c:v>80.14</c:v>
                </c:pt>
                <c:pt idx="8">
                  <c:v>76.47</c:v>
                </c:pt>
                <c:pt idx="9">
                  <c:v>55.33</c:v>
                </c:pt>
                <c:pt idx="10">
                  <c:v>53.8</c:v>
                </c:pt>
                <c:pt idx="11">
                  <c:v>122.97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Data'!$K$2</c:f>
              <c:strCache>
                <c:ptCount val="1"/>
              </c:strCache>
            </c:strRef>
          </c:tx>
          <c:spPr>
            <a:ln w="21960">
              <a:solidFill>
                <a:srgbClr val="F472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Data'!$I$3:$I$14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Data'!$K$3:$K$14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175.53</c:v>
                </c:pt>
                <c:pt idx="2">
                  <c:v>0</c:v>
                </c:pt>
                <c:pt idx="3">
                  <c:v>164.78</c:v>
                </c:pt>
                <c:pt idx="4">
                  <c:v>148.1</c:v>
                </c:pt>
                <c:pt idx="5">
                  <c:v>0</c:v>
                </c:pt>
                <c:pt idx="6">
                  <c:v>163.6</c:v>
                </c:pt>
                <c:pt idx="7">
                  <c:v>546.98</c:v>
                </c:pt>
                <c:pt idx="8">
                  <c:v>314.72000000000003</c:v>
                </c:pt>
                <c:pt idx="9">
                  <c:v>0</c:v>
                </c:pt>
                <c:pt idx="10">
                  <c:v>517.86</c:v>
                </c:pt>
                <c:pt idx="11">
                  <c:v>505.39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2119096"/>
        <c:axId val="892122624"/>
      </c:lineChart>
      <c:catAx>
        <c:axId val="892119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2624"/>
        <c:crosses val="autoZero"/>
        <c:auto val="1"/>
        <c:lblAlgn val="ctr"/>
        <c:lblOffset val="100"/>
        <c:noMultiLvlLbl val="0"/>
      </c:catAx>
      <c:valAx>
        <c:axId val="892122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MTBF (min)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190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Data'!$N$2</c:f>
              <c:strCache>
                <c:ptCount val="1"/>
              </c:strCache>
            </c:strRef>
          </c:tx>
          <c:spPr>
            <a:ln w="219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Data'!$M$3:$M$14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Data'!$N$3:$N$14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34.76</c:v>
                </c:pt>
                <c:pt idx="2">
                  <c:v>79.400000000000006</c:v>
                </c:pt>
                <c:pt idx="3">
                  <c:v>38.200000000000003</c:v>
                </c:pt>
                <c:pt idx="4">
                  <c:v>41.2</c:v>
                </c:pt>
                <c:pt idx="5">
                  <c:v>29.8</c:v>
                </c:pt>
                <c:pt idx="6">
                  <c:v>38</c:v>
                </c:pt>
                <c:pt idx="7">
                  <c:v>39.4</c:v>
                </c:pt>
                <c:pt idx="8">
                  <c:v>54.2</c:v>
                </c:pt>
                <c:pt idx="9">
                  <c:v>54.2</c:v>
                </c:pt>
                <c:pt idx="10">
                  <c:v>56.8</c:v>
                </c:pt>
                <c:pt idx="11">
                  <c:v>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Data'!$O$2</c:f>
              <c:strCache>
                <c:ptCount val="1"/>
              </c:strCache>
            </c:strRef>
          </c:tx>
          <c:spPr>
            <a:ln w="21960">
              <a:solidFill>
                <a:srgbClr val="F472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Data'!$M$3:$M$14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Data'!$O$3:$O$14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39.57</c:v>
                </c:pt>
                <c:pt idx="2">
                  <c:v>46.31</c:v>
                </c:pt>
                <c:pt idx="3">
                  <c:v>63.45</c:v>
                </c:pt>
                <c:pt idx="4">
                  <c:v>50.23</c:v>
                </c:pt>
                <c:pt idx="5">
                  <c:v>36.11</c:v>
                </c:pt>
                <c:pt idx="6">
                  <c:v>47.03</c:v>
                </c:pt>
                <c:pt idx="7">
                  <c:v>61.75</c:v>
                </c:pt>
                <c:pt idx="8">
                  <c:v>63.5</c:v>
                </c:pt>
                <c:pt idx="9">
                  <c:v>67.180000000000007</c:v>
                </c:pt>
                <c:pt idx="10">
                  <c:v>56.33</c:v>
                </c:pt>
                <c:pt idx="11">
                  <c:v>51.65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2123016"/>
        <c:axId val="892123408"/>
      </c:lineChart>
      <c:catAx>
        <c:axId val="892123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3408"/>
        <c:crosses val="autoZero"/>
        <c:auto val="1"/>
        <c:lblAlgn val="ctr"/>
        <c:lblOffset val="100"/>
        <c:noMultiLvlLbl val="0"/>
      </c:catAx>
      <c:valAx>
        <c:axId val="892123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MTTR (min)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230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Data'!$F$17</c:f>
              <c:strCache>
                <c:ptCount val="1"/>
              </c:strCache>
            </c:strRef>
          </c:tx>
          <c:spPr>
            <a:solidFill>
              <a:srgbClr val="00B4D8"/>
            </a:solidFill>
            <a:ln w="9360">
              <a:solidFill>
                <a:srgbClr val="00B4D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Data'!$E$18:$E$21</c:f>
              <c:strCache>
                <c:ptCount val="4"/>
                <c:pt idx="0">
                  <c:v>Month/Machine</c:v>
                </c:pt>
                <c:pt idx="1">
                  <c:v>KBA-1</c:v>
                </c:pt>
                <c:pt idx="2">
                  <c:v>KBA-2</c:v>
                </c:pt>
                <c:pt idx="3">
                  <c:v>KBA-3</c:v>
                </c:pt>
              </c:strCache>
            </c:strRef>
          </c:cat>
          <c:val>
            <c:numRef>
              <c:f>'Chart Data'!$F$18:$F$21</c:f>
              <c:numCache>
                <c:formatCode>0.0</c:formatCode>
                <c:ptCount val="4"/>
                <c:pt idx="0" formatCode="General">
                  <c:v>0</c:v>
                </c:pt>
                <c:pt idx="1">
                  <c:v>59.13</c:v>
                </c:pt>
                <c:pt idx="2">
                  <c:v>49.96</c:v>
                </c:pt>
                <c:pt idx="3">
                  <c:v>60.87</c:v>
                </c:pt>
              </c:numCache>
            </c:numRef>
          </c:val>
        </c:ser>
        <c:ser>
          <c:idx val="1"/>
          <c:order val="1"/>
          <c:tx>
            <c:strRef>
              <c:f>'Chart Data'!$G$17</c:f>
              <c:strCache>
                <c:ptCount val="1"/>
              </c:strCache>
            </c:strRef>
          </c:tx>
          <c:spPr>
            <a:solidFill>
              <a:srgbClr val="F4722B"/>
            </a:solidFill>
            <a:ln w="9360">
              <a:solidFill>
                <a:srgbClr val="F4722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Data'!$E$18:$E$21</c:f>
              <c:strCache>
                <c:ptCount val="4"/>
                <c:pt idx="0">
                  <c:v>Month/Machine</c:v>
                </c:pt>
                <c:pt idx="1">
                  <c:v>KBA-1</c:v>
                </c:pt>
                <c:pt idx="2">
                  <c:v>KBA-2</c:v>
                </c:pt>
                <c:pt idx="3">
                  <c:v>KBA-3</c:v>
                </c:pt>
              </c:strCache>
            </c:strRef>
          </c:cat>
          <c:val>
            <c:numRef>
              <c:f>'Chart Data'!$G$18:$G$21</c:f>
              <c:numCache>
                <c:formatCode>0.0</c:formatCode>
                <c:ptCount val="4"/>
                <c:pt idx="0" formatCode="General">
                  <c:v>0</c:v>
                </c:pt>
                <c:pt idx="1">
                  <c:v>144.16</c:v>
                </c:pt>
                <c:pt idx="2">
                  <c:v>185.62</c:v>
                </c:pt>
                <c:pt idx="3">
                  <c:v>236.45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117528"/>
        <c:axId val="892117920"/>
      </c:barChart>
      <c:catAx>
        <c:axId val="892117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17920"/>
        <c:crosses val="autoZero"/>
        <c:auto val="1"/>
        <c:lblAlgn val="ctr"/>
        <c:lblOffset val="100"/>
        <c:noMultiLvlLbl val="0"/>
      </c:catAx>
      <c:valAx>
        <c:axId val="892117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MTBF (min)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117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Data'!$J$17</c:f>
              <c:strCache>
                <c:ptCount val="1"/>
              </c:strCache>
            </c:strRef>
          </c:tx>
          <c:spPr>
            <a:solidFill>
              <a:srgbClr val="00B4D8"/>
            </a:solidFill>
            <a:ln w="9360">
              <a:solidFill>
                <a:srgbClr val="00B4D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Data'!$I$18:$I$21</c:f>
              <c:strCache>
                <c:ptCount val="4"/>
                <c:pt idx="0">
                  <c:v>Month/Machine</c:v>
                </c:pt>
                <c:pt idx="1">
                  <c:v>KBA-1</c:v>
                </c:pt>
                <c:pt idx="2">
                  <c:v>KBA-2</c:v>
                </c:pt>
                <c:pt idx="3">
                  <c:v>KBA-3</c:v>
                </c:pt>
              </c:strCache>
            </c:strRef>
          </c:cat>
          <c:val>
            <c:numRef>
              <c:f>'Chart Data'!$J$18:$J$21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374</c:v>
                </c:pt>
                <c:pt idx="2">
                  <c:v>382</c:v>
                </c:pt>
                <c:pt idx="3">
                  <c:v>310</c:v>
                </c:pt>
              </c:numCache>
            </c:numRef>
          </c:val>
        </c:ser>
        <c:ser>
          <c:idx val="1"/>
          <c:order val="1"/>
          <c:tx>
            <c:strRef>
              <c:f>'Chart Data'!$K$17</c:f>
              <c:strCache>
                <c:ptCount val="1"/>
              </c:strCache>
            </c:strRef>
          </c:tx>
          <c:spPr>
            <a:solidFill>
              <a:srgbClr val="F4722B"/>
            </a:solidFill>
            <a:ln w="9360">
              <a:solidFill>
                <a:srgbClr val="F4722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Data'!$I$18:$I$21</c:f>
              <c:strCache>
                <c:ptCount val="4"/>
                <c:pt idx="0">
                  <c:v>Month/Machine</c:v>
                </c:pt>
                <c:pt idx="1">
                  <c:v>KBA-1</c:v>
                </c:pt>
                <c:pt idx="2">
                  <c:v>KBA-2</c:v>
                </c:pt>
                <c:pt idx="3">
                  <c:v>KBA-3</c:v>
                </c:pt>
              </c:strCache>
            </c:strRef>
          </c:cat>
          <c:val>
            <c:numRef>
              <c:f>'Chart Data'!$K$18:$K$21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164</c:v>
                </c:pt>
                <c:pt idx="2">
                  <c:v>110</c:v>
                </c:pt>
                <c:pt idx="3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376200"/>
        <c:axId val="808376984"/>
      </c:barChart>
      <c:catAx>
        <c:axId val="808376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376984"/>
        <c:crosses val="autoZero"/>
        <c:auto val="1"/>
        <c:lblAlgn val="ctr"/>
        <c:lblOffset val="100"/>
        <c:noMultiLvlLbl val="0"/>
      </c:catAx>
      <c:valAx>
        <c:axId val="808376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BD Count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3762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Data'!$B$17</c:f>
              <c:strCache>
                <c:ptCount val="1"/>
              </c:strCache>
            </c:strRef>
          </c:tx>
          <c:spPr>
            <a:ln w="219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Data'!$A$18:$A$29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Data'!$B$18:$B$29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97.99</c:v>
                </c:pt>
                <c:pt idx="2">
                  <c:v>97.34</c:v>
                </c:pt>
                <c:pt idx="3">
                  <c:v>96.740000000000009</c:v>
                </c:pt>
                <c:pt idx="4">
                  <c:v>96.43</c:v>
                </c:pt>
                <c:pt idx="5">
                  <c:v>97.77</c:v>
                </c:pt>
                <c:pt idx="6">
                  <c:v>97.58</c:v>
                </c:pt>
                <c:pt idx="7">
                  <c:v>97.1</c:v>
                </c:pt>
                <c:pt idx="8">
                  <c:v>96.39</c:v>
                </c:pt>
                <c:pt idx="9">
                  <c:v>95.46</c:v>
                </c:pt>
                <c:pt idx="10">
                  <c:v>95.52000000000001</c:v>
                </c:pt>
                <c:pt idx="11">
                  <c:v>96.789999999999992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Data'!$C$17</c:f>
              <c:strCache>
                <c:ptCount val="1"/>
              </c:strCache>
            </c:strRef>
          </c:tx>
          <c:spPr>
            <a:ln w="21960">
              <a:solidFill>
                <a:srgbClr val="00C85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Data'!$A$18:$A$29</c:f>
              <c:strCache>
                <c:ptCount val="12"/>
                <c:pt idx="0">
                  <c:v>Month/Machine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'Chart Data'!$C$18:$C$29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98.22</c:v>
                </c:pt>
                <c:pt idx="2">
                  <c:v>99.009999999999991</c:v>
                </c:pt>
                <c:pt idx="3">
                  <c:v>97.789999999999992</c:v>
                </c:pt>
                <c:pt idx="4">
                  <c:v>98.350000000000009</c:v>
                </c:pt>
                <c:pt idx="5">
                  <c:v>99.33</c:v>
                </c:pt>
                <c:pt idx="6">
                  <c:v>98.66</c:v>
                </c:pt>
                <c:pt idx="7">
                  <c:v>98.87</c:v>
                </c:pt>
                <c:pt idx="8">
                  <c:v>98.82</c:v>
                </c:pt>
                <c:pt idx="9">
                  <c:v>98.88</c:v>
                </c:pt>
                <c:pt idx="10">
                  <c:v>98.59</c:v>
                </c:pt>
                <c:pt idx="11">
                  <c:v>99.19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8378552"/>
        <c:axId val="672008016"/>
      </c:lineChart>
      <c:catAx>
        <c:axId val="808378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008016"/>
        <c:crosses val="autoZero"/>
        <c:auto val="1"/>
        <c:lblAlgn val="ctr"/>
        <c:lblOffset val="100"/>
        <c:noMultiLvlLbl val="0"/>
      </c:catAx>
      <c:valAx>
        <c:axId val="672008016"/>
        <c:scaling>
          <c:orientation val="minMax"/>
          <c:min val="8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Availability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378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Data'!$N$17</c:f>
              <c:strCache>
                <c:ptCount val="1"/>
              </c:strCache>
            </c:strRef>
          </c:tx>
          <c:spPr>
            <a:solidFill>
              <a:srgbClr val="00B4D8"/>
            </a:solidFill>
            <a:ln w="9360">
              <a:solidFill>
                <a:srgbClr val="00B4D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Data'!$M$18:$M$21</c:f>
              <c:strCache>
                <c:ptCount val="4"/>
                <c:pt idx="0">
                  <c:v>Month/Machine</c:v>
                </c:pt>
                <c:pt idx="1">
                  <c:v>KBA-1</c:v>
                </c:pt>
                <c:pt idx="2">
                  <c:v>KBA-2</c:v>
                </c:pt>
                <c:pt idx="3">
                  <c:v>KBA-3</c:v>
                </c:pt>
              </c:strCache>
            </c:strRef>
          </c:cat>
          <c:val>
            <c:numRef>
              <c:f>'Chart Data'!$N$18:$N$21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95.509999999999991</c:v>
                </c:pt>
                <c:pt idx="2">
                  <c:v>96.25</c:v>
                </c:pt>
                <c:pt idx="3">
                  <c:v>96.71</c:v>
                </c:pt>
              </c:numCache>
            </c:numRef>
          </c:val>
        </c:ser>
        <c:ser>
          <c:idx val="1"/>
          <c:order val="1"/>
          <c:tx>
            <c:strRef>
              <c:f>'Chart Data'!$O$17</c:f>
              <c:strCache>
                <c:ptCount val="1"/>
              </c:strCache>
            </c:strRef>
          </c:tx>
          <c:spPr>
            <a:solidFill>
              <a:srgbClr val="00C853"/>
            </a:solidFill>
            <a:ln w="9360">
              <a:solidFill>
                <a:srgbClr val="00C85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Data'!$M$18:$M$21</c:f>
              <c:strCache>
                <c:ptCount val="4"/>
                <c:pt idx="0">
                  <c:v>Month/Machine</c:v>
                </c:pt>
                <c:pt idx="1">
                  <c:v>KBA-1</c:v>
                </c:pt>
                <c:pt idx="2">
                  <c:v>KBA-2</c:v>
                </c:pt>
                <c:pt idx="3">
                  <c:v>KBA-3</c:v>
                </c:pt>
              </c:strCache>
            </c:strRef>
          </c:cat>
          <c:val>
            <c:numRef>
              <c:f>'Chart Data'!$O$18:$O$21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97.97</c:v>
                </c:pt>
                <c:pt idx="2">
                  <c:v>98.28</c:v>
                </c:pt>
                <c:pt idx="3">
                  <c:v>98.82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540976"/>
        <c:axId val="805369232"/>
      </c:barChart>
      <c:catAx>
        <c:axId val="809540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369232"/>
        <c:crosses val="autoZero"/>
        <c:auto val="1"/>
        <c:lblAlgn val="ctr"/>
        <c:lblOffset val="100"/>
        <c:noMultiLvlLbl val="0"/>
      </c:catAx>
      <c:valAx>
        <c:axId val="805369232"/>
        <c:scaling>
          <c:orientation val="minMax"/>
          <c:min val="9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Avail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5409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9</xdr:col>
      <xdr:colOff>143640</xdr:colOff>
      <xdr:row>31</xdr:row>
      <xdr:rowOff>218160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19</xdr:col>
      <xdr:colOff>143640</xdr:colOff>
      <xdr:row>31</xdr:row>
      <xdr:rowOff>218160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9</xdr:col>
      <xdr:colOff>143640</xdr:colOff>
      <xdr:row>52</xdr:row>
      <xdr:rowOff>218160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38</xdr:row>
      <xdr:rowOff>0</xdr:rowOff>
    </xdr:from>
    <xdr:to>
      <xdr:col>19</xdr:col>
      <xdr:colOff>143640</xdr:colOff>
      <xdr:row>52</xdr:row>
      <xdr:rowOff>218160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9</xdr:col>
      <xdr:colOff>143640</xdr:colOff>
      <xdr:row>73</xdr:row>
      <xdr:rowOff>218160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59</xdr:row>
      <xdr:rowOff>0</xdr:rowOff>
    </xdr:from>
    <xdr:to>
      <xdr:col>19</xdr:col>
      <xdr:colOff>143640</xdr:colOff>
      <xdr:row>73</xdr:row>
      <xdr:rowOff>218160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80</xdr:row>
      <xdr:rowOff>0</xdr:rowOff>
    </xdr:from>
    <xdr:to>
      <xdr:col>9</xdr:col>
      <xdr:colOff>143640</xdr:colOff>
      <xdr:row>94</xdr:row>
      <xdr:rowOff>218160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80</xdr:row>
      <xdr:rowOff>0</xdr:rowOff>
    </xdr:from>
    <xdr:to>
      <xdr:col>19</xdr:col>
      <xdr:colOff>143640</xdr:colOff>
      <xdr:row>94</xdr:row>
      <xdr:rowOff>218160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4D8"/>
  </sheetPr>
  <dimension ref="A1:U107"/>
  <sheetViews>
    <sheetView showGridLines="0" topLeftCell="A85" zoomScaleNormal="100" workbookViewId="0"/>
  </sheetViews>
  <sheetFormatPr defaultColWidth="8.7109375" defaultRowHeight="15" x14ac:dyDescent="0.25"/>
  <cols>
    <col min="1" max="1" width="1" style="15" customWidth="1"/>
    <col min="2" max="20" width="9" style="15" customWidth="1"/>
    <col min="21" max="21" width="1" style="15" customWidth="1"/>
  </cols>
  <sheetData>
    <row r="1" spans="1:21" ht="9.7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39.75" customHeight="1" x14ac:dyDescent="0.25">
      <c r="A2" s="16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6"/>
    </row>
    <row r="3" spans="1:21" ht="19.5" customHeight="1" x14ac:dyDescent="0.25">
      <c r="A3" s="16"/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6"/>
    </row>
    <row r="4" spans="1:21" ht="9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3.75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6"/>
    </row>
    <row r="6" spans="1:21" ht="3.75" customHeight="1" x14ac:dyDescent="0.25">
      <c r="A6" s="16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8"/>
      <c r="O6" s="18"/>
      <c r="P6" s="18"/>
      <c r="Q6" s="18"/>
      <c r="R6" s="18"/>
      <c r="S6" s="18"/>
      <c r="T6" s="18"/>
      <c r="U6" s="16"/>
    </row>
    <row r="7" spans="1:21" ht="19.5" customHeight="1" x14ac:dyDescent="0.25">
      <c r="A7" s="16"/>
      <c r="B7" s="12" t="s">
        <v>2</v>
      </c>
      <c r="C7" s="12"/>
      <c r="D7" s="12"/>
      <c r="E7" s="12" t="s">
        <v>3</v>
      </c>
      <c r="F7" s="12"/>
      <c r="G7" s="12"/>
      <c r="H7" s="12" t="s">
        <v>4</v>
      </c>
      <c r="I7" s="12"/>
      <c r="J7" s="12"/>
      <c r="K7" s="12" t="s">
        <v>5</v>
      </c>
      <c r="L7" s="12"/>
      <c r="M7" s="12"/>
      <c r="N7" s="12" t="s">
        <v>6</v>
      </c>
      <c r="O7" s="12"/>
      <c r="P7" s="12"/>
      <c r="Q7" s="12"/>
      <c r="R7" s="12"/>
      <c r="S7" s="12"/>
      <c r="T7" s="12"/>
      <c r="U7" s="16"/>
    </row>
    <row r="8" spans="1:21" ht="15.75" customHeight="1" x14ac:dyDescent="0.25">
      <c r="A8" s="16"/>
      <c r="B8" s="11" t="s">
        <v>7</v>
      </c>
      <c r="C8" s="11"/>
      <c r="D8" s="11"/>
      <c r="E8" s="11" t="s">
        <v>7</v>
      </c>
      <c r="F8" s="11"/>
      <c r="G8" s="11"/>
      <c r="H8" s="11" t="s">
        <v>7</v>
      </c>
      <c r="I8" s="11"/>
      <c r="J8" s="11"/>
      <c r="K8" s="11" t="s">
        <v>7</v>
      </c>
      <c r="L8" s="11"/>
      <c r="M8" s="11"/>
      <c r="N8" s="11" t="s">
        <v>7</v>
      </c>
      <c r="O8" s="11"/>
      <c r="P8" s="11"/>
      <c r="Q8" s="11"/>
      <c r="R8" s="11"/>
      <c r="S8" s="11"/>
      <c r="T8" s="11"/>
      <c r="U8" s="16"/>
    </row>
    <row r="9" spans="1:21" ht="21.75" customHeight="1" x14ac:dyDescent="0.25">
      <c r="A9" s="16"/>
      <c r="B9" s="10">
        <f>'FY 2024-25 Data'!B18</f>
        <v>80.789166666666674</v>
      </c>
      <c r="C9" s="10"/>
      <c r="D9" s="10"/>
      <c r="E9" s="10">
        <f>'FY 2024-25 Data'!C18</f>
        <v>48.913333333333334</v>
      </c>
      <c r="F9" s="10"/>
      <c r="G9" s="10"/>
      <c r="H9" s="9">
        <f>'FY 2024-25 Data'!E18</f>
        <v>1422</v>
      </c>
      <c r="I9" s="9"/>
      <c r="J9" s="9"/>
      <c r="K9" s="10">
        <f>'FY 2024-25 Data'!G18</f>
        <v>1277.3999999999999</v>
      </c>
      <c r="L9" s="10"/>
      <c r="M9" s="10"/>
      <c r="N9" s="8">
        <f>'FY 2024-25 Data'!F18</f>
        <v>0.9627916666666666</v>
      </c>
      <c r="O9" s="8"/>
      <c r="P9" s="8"/>
      <c r="Q9" s="8"/>
      <c r="R9" s="8"/>
      <c r="S9" s="8"/>
      <c r="T9" s="8"/>
      <c r="U9" s="16"/>
    </row>
    <row r="10" spans="1:21" ht="15.75" customHeight="1" x14ac:dyDescent="0.25">
      <c r="A10" s="16"/>
      <c r="B10" s="7" t="s">
        <v>8</v>
      </c>
      <c r="C10" s="7"/>
      <c r="D10" s="7"/>
      <c r="E10" s="7" t="s">
        <v>8</v>
      </c>
      <c r="F10" s="7"/>
      <c r="G10" s="7"/>
      <c r="H10" s="7" t="s">
        <v>8</v>
      </c>
      <c r="I10" s="7"/>
      <c r="J10" s="7"/>
      <c r="K10" s="7" t="s">
        <v>8</v>
      </c>
      <c r="L10" s="7"/>
      <c r="M10" s="7"/>
      <c r="N10" s="7" t="s">
        <v>8</v>
      </c>
      <c r="O10" s="7"/>
      <c r="P10" s="7"/>
      <c r="Q10" s="7"/>
      <c r="R10" s="7"/>
      <c r="S10" s="7"/>
      <c r="T10" s="7"/>
      <c r="U10" s="16"/>
    </row>
    <row r="11" spans="1:21" ht="21.75" customHeight="1" x14ac:dyDescent="0.25">
      <c r="A11" s="16"/>
      <c r="B11" s="6">
        <f>'FY 2025-26 Data'!B18</f>
        <v>317.12</v>
      </c>
      <c r="C11" s="6"/>
      <c r="D11" s="6"/>
      <c r="E11" s="6">
        <f>'FY 2025-26 Data'!C18</f>
        <v>55.425833333333323</v>
      </c>
      <c r="F11" s="6"/>
      <c r="G11" s="6"/>
      <c r="H11" s="5">
        <f>'FY 2025-26 Data'!E18</f>
        <v>463</v>
      </c>
      <c r="I11" s="5"/>
      <c r="J11" s="5"/>
      <c r="K11" s="6">
        <f>'FY 2025-26 Data'!G18</f>
        <v>426.2</v>
      </c>
      <c r="L11" s="6"/>
      <c r="M11" s="6"/>
      <c r="N11" s="4">
        <f>'FY 2025-26 Data'!F18</f>
        <v>0.9875583333333332</v>
      </c>
      <c r="O11" s="4"/>
      <c r="P11" s="4"/>
      <c r="Q11" s="4"/>
      <c r="R11" s="4"/>
      <c r="S11" s="4"/>
      <c r="T11" s="4"/>
      <c r="U11" s="16"/>
    </row>
    <row r="12" spans="1:21" ht="19.5" customHeight="1" x14ac:dyDescent="0.25">
      <c r="A12" s="16"/>
      <c r="B12" s="3">
        <f>IFERROR(('FY 2025-26 Data'!B18-'FY 2024-25 Data'!B18)/ABS('FY 2024-25 Data'!B18),0)</f>
        <v>2.9252787605598929</v>
      </c>
      <c r="C12" s="3"/>
      <c r="D12" s="3"/>
      <c r="E12" s="3">
        <f>IFERROR(('FY 2025-26 Data'!C18-'FY 2024-25 Data'!C18)/ABS('FY 2024-25 Data'!C18),0)</f>
        <v>0.13314365544500453</v>
      </c>
      <c r="F12" s="3"/>
      <c r="G12" s="3"/>
      <c r="H12" s="3">
        <f>IFERROR(('FY 2025-26 Data'!E18-'FY 2024-25 Data'!E18)/ABS('FY 2024-25 Data'!E18),0)</f>
        <v>-0.67440225035161749</v>
      </c>
      <c r="I12" s="3"/>
      <c r="J12" s="3"/>
      <c r="K12" s="3">
        <f>IFERROR(('FY 2025-26 Data'!G18-'FY 2024-25 Data'!G18)/ABS('FY 2024-25 Data'!G18),0)</f>
        <v>-0.66635353060904956</v>
      </c>
      <c r="L12" s="3"/>
      <c r="M12" s="3"/>
      <c r="N12" s="3">
        <f>IFERROR(('FY 2025-26 Data'!F18-'FY 2024-25 Data'!F18)/ABS('FY 2024-25 Data'!F18),0)</f>
        <v>2.5723806638680857E-2</v>
      </c>
      <c r="O12" s="3"/>
      <c r="P12" s="3"/>
      <c r="Q12" s="3"/>
      <c r="R12" s="3"/>
      <c r="S12" s="3"/>
      <c r="T12" s="3"/>
      <c r="U12" s="16"/>
    </row>
    <row r="13" spans="1:21" ht="6" customHeight="1" x14ac:dyDescent="0.25">
      <c r="A13" s="1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6"/>
    </row>
    <row r="14" spans="1:21" ht="3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.75" customHeight="1" x14ac:dyDescent="0.25">
      <c r="A15" s="16"/>
      <c r="B15" s="1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6"/>
    </row>
    <row r="16" spans="1:21" ht="21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/>
      <c r="B17" s="104" t="s">
        <v>10</v>
      </c>
      <c r="C17" s="104"/>
      <c r="D17" s="104"/>
      <c r="E17" s="104"/>
      <c r="F17" s="104"/>
      <c r="G17" s="104"/>
      <c r="H17" s="104"/>
      <c r="I17" s="104"/>
      <c r="J17" s="104"/>
      <c r="K17" s="105" t="s">
        <v>11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6"/>
    </row>
    <row r="18" spans="1:21" ht="18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8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8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8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8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8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18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18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18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18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18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18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18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18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18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18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18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ht="21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/>
      <c r="B38" s="104" t="s">
        <v>12</v>
      </c>
      <c r="C38" s="104"/>
      <c r="D38" s="104"/>
      <c r="E38" s="104"/>
      <c r="F38" s="104"/>
      <c r="G38" s="104"/>
      <c r="H38" s="104"/>
      <c r="I38" s="104"/>
      <c r="J38" s="104"/>
      <c r="K38" s="105" t="s">
        <v>13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6"/>
    </row>
    <row r="39" spans="1:21" ht="18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ht="18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ht="18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8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8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8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8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8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8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8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8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8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8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8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8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8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8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8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8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21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/>
      <c r="B59" s="106" t="s">
        <v>14</v>
      </c>
      <c r="C59" s="106"/>
      <c r="D59" s="106"/>
      <c r="E59" s="106"/>
      <c r="F59" s="106"/>
      <c r="G59" s="106"/>
      <c r="H59" s="106"/>
      <c r="I59" s="106"/>
      <c r="J59" s="106"/>
      <c r="K59" s="106" t="s">
        <v>15</v>
      </c>
      <c r="L59" s="106"/>
      <c r="M59" s="106"/>
      <c r="N59" s="106"/>
      <c r="O59" s="106"/>
      <c r="P59" s="106"/>
      <c r="Q59" s="106"/>
      <c r="R59" s="106"/>
      <c r="S59" s="106"/>
      <c r="T59" s="106"/>
      <c r="U59" s="16"/>
    </row>
    <row r="60" spans="1:21" ht="18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8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8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8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8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8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8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8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8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ht="18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ht="18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ht="18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ht="18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ht="18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ht="18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ht="21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A80" s="16"/>
      <c r="B80" s="106" t="s">
        <v>16</v>
      </c>
      <c r="C80" s="106"/>
      <c r="D80" s="106"/>
      <c r="E80" s="106"/>
      <c r="F80" s="106"/>
      <c r="G80" s="106"/>
      <c r="H80" s="106"/>
      <c r="I80" s="106"/>
      <c r="J80" s="106"/>
      <c r="K80" s="106" t="s">
        <v>17</v>
      </c>
      <c r="L80" s="106"/>
      <c r="M80" s="106"/>
      <c r="N80" s="106"/>
      <c r="O80" s="106"/>
      <c r="P80" s="106"/>
      <c r="Q80" s="106"/>
      <c r="R80" s="106"/>
      <c r="S80" s="106"/>
      <c r="T80" s="106"/>
      <c r="U80" s="16"/>
    </row>
    <row r="81" spans="1:21" ht="18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ht="18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ht="18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8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8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8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8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8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8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8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8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8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8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8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8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spans="1:21" ht="18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1:21" ht="18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1:21" ht="18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spans="1:21" ht="18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spans="1:21" ht="6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9.5" customHeight="1" x14ac:dyDescent="0.25">
      <c r="A101" s="16"/>
      <c r="B101" s="13" t="s">
        <v>18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6"/>
    </row>
    <row r="102" spans="1:21" ht="18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spans="1:21" ht="18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1:21" ht="18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spans="1:21" ht="18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spans="1:21" ht="18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</sheetData>
  <mergeCells count="47">
    <mergeCell ref="B59:J59"/>
    <mergeCell ref="K59:T59"/>
    <mergeCell ref="B80:J80"/>
    <mergeCell ref="K80:T80"/>
    <mergeCell ref="B101:T101"/>
    <mergeCell ref="B15:T15"/>
    <mergeCell ref="B17:J17"/>
    <mergeCell ref="K17:T17"/>
    <mergeCell ref="B38:J38"/>
    <mergeCell ref="K38:T38"/>
    <mergeCell ref="B13:D13"/>
    <mergeCell ref="E13:G13"/>
    <mergeCell ref="H13:J13"/>
    <mergeCell ref="K13:M13"/>
    <mergeCell ref="N13:T13"/>
    <mergeCell ref="B12:D12"/>
    <mergeCell ref="E12:G12"/>
    <mergeCell ref="H12:J12"/>
    <mergeCell ref="K12:M12"/>
    <mergeCell ref="N12:T12"/>
    <mergeCell ref="B11:D11"/>
    <mergeCell ref="E11:G11"/>
    <mergeCell ref="H11:J11"/>
    <mergeCell ref="K11:M11"/>
    <mergeCell ref="N11:T11"/>
    <mergeCell ref="B10:D10"/>
    <mergeCell ref="E10:G10"/>
    <mergeCell ref="H10:J10"/>
    <mergeCell ref="K10:M10"/>
    <mergeCell ref="N10:T10"/>
    <mergeCell ref="B9:D9"/>
    <mergeCell ref="E9:G9"/>
    <mergeCell ref="H9:J9"/>
    <mergeCell ref="K9:M9"/>
    <mergeCell ref="N9:T9"/>
    <mergeCell ref="B8:D8"/>
    <mergeCell ref="E8:G8"/>
    <mergeCell ref="H8:J8"/>
    <mergeCell ref="K8:M8"/>
    <mergeCell ref="N8:T8"/>
    <mergeCell ref="B2:T2"/>
    <mergeCell ref="B3:T3"/>
    <mergeCell ref="B7:D7"/>
    <mergeCell ref="E7:G7"/>
    <mergeCell ref="H7:J7"/>
    <mergeCell ref="K7:M7"/>
    <mergeCell ref="N7:T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F7A"/>
  </sheetPr>
  <dimension ref="A1:H34"/>
  <sheetViews>
    <sheetView showGridLines="0" zoomScaleNormal="100" workbookViewId="0"/>
  </sheetViews>
  <sheetFormatPr defaultColWidth="8.7109375" defaultRowHeight="15" x14ac:dyDescent="0.25"/>
  <cols>
    <col min="1" max="1" width="16" style="15" customWidth="1"/>
    <col min="2" max="3" width="13" style="15" customWidth="1"/>
    <col min="4" max="4" width="14" style="15" customWidth="1"/>
    <col min="5" max="6" width="12" style="15" customWidth="1"/>
    <col min="7" max="7" width="13" style="15" customWidth="1"/>
  </cols>
  <sheetData>
    <row r="1" spans="1:8" ht="7.5" customHeight="1" x14ac:dyDescent="0.25">
      <c r="A1" s="16"/>
      <c r="B1" s="16"/>
      <c r="C1" s="16"/>
      <c r="D1" s="16"/>
      <c r="E1" s="16"/>
      <c r="F1" s="16"/>
      <c r="G1" s="16"/>
      <c r="H1" s="16"/>
    </row>
    <row r="2" spans="1:8" ht="37.5" customHeight="1" x14ac:dyDescent="0.25">
      <c r="A2" s="107" t="s">
        <v>19</v>
      </c>
      <c r="B2" s="107"/>
      <c r="C2" s="107"/>
      <c r="D2" s="107"/>
      <c r="E2" s="107"/>
      <c r="F2" s="107"/>
      <c r="G2" s="107"/>
      <c r="H2" s="16"/>
    </row>
    <row r="3" spans="1:8" ht="19.5" customHeight="1" x14ac:dyDescent="0.25">
      <c r="A3" s="108" t="s">
        <v>20</v>
      </c>
      <c r="B3" s="108"/>
      <c r="C3" s="108"/>
      <c r="D3" s="108"/>
      <c r="E3" s="108"/>
      <c r="F3" s="108"/>
      <c r="G3" s="108"/>
      <c r="H3" s="16"/>
    </row>
    <row r="4" spans="1:8" ht="7.5" customHeight="1" x14ac:dyDescent="0.25">
      <c r="A4" s="109" t="s">
        <v>21</v>
      </c>
      <c r="B4" s="109"/>
      <c r="C4" s="109"/>
      <c r="D4" s="109"/>
      <c r="E4" s="109"/>
      <c r="F4" s="109"/>
      <c r="G4" s="109"/>
      <c r="H4" s="16"/>
    </row>
    <row r="5" spans="1:8" ht="27.75" customHeight="1" x14ac:dyDescent="0.25">
      <c r="A5" s="20" t="s">
        <v>22</v>
      </c>
      <c r="B5" s="20" t="s">
        <v>23</v>
      </c>
      <c r="C5" s="20" t="s">
        <v>24</v>
      </c>
      <c r="D5" s="20" t="s">
        <v>25</v>
      </c>
      <c r="E5" s="20" t="s">
        <v>26</v>
      </c>
      <c r="F5" s="20" t="s">
        <v>27</v>
      </c>
      <c r="G5" s="20" t="s">
        <v>28</v>
      </c>
      <c r="H5" s="16"/>
    </row>
    <row r="6" spans="1:8" ht="19.5" customHeight="1" x14ac:dyDescent="0.25">
      <c r="A6" s="21" t="s">
        <v>29</v>
      </c>
      <c r="B6" s="22">
        <v>75.61</v>
      </c>
      <c r="C6" s="22">
        <v>34.76</v>
      </c>
      <c r="D6" s="23">
        <v>3443</v>
      </c>
      <c r="E6" s="23">
        <v>99</v>
      </c>
      <c r="F6" s="24">
        <v>0.97989999999999999</v>
      </c>
      <c r="G6" s="25">
        <v>57.4</v>
      </c>
      <c r="H6" s="16"/>
    </row>
    <row r="7" spans="1:8" ht="19.5" customHeight="1" x14ac:dyDescent="0.25">
      <c r="A7" s="26" t="s">
        <v>30</v>
      </c>
      <c r="B7" s="27">
        <v>87.39</v>
      </c>
      <c r="C7" s="27">
        <v>79.400000000000006</v>
      </c>
      <c r="D7" s="28">
        <v>4570</v>
      </c>
      <c r="E7" s="28">
        <v>101</v>
      </c>
      <c r="F7" s="29">
        <v>0.97340000000000004</v>
      </c>
      <c r="G7" s="30">
        <v>76.2</v>
      </c>
      <c r="H7" s="16"/>
    </row>
    <row r="8" spans="1:8" ht="19.5" customHeight="1" x14ac:dyDescent="0.25">
      <c r="A8" s="21" t="s">
        <v>31</v>
      </c>
      <c r="B8" s="22">
        <v>62.21</v>
      </c>
      <c r="C8" s="22">
        <v>38.200000000000003</v>
      </c>
      <c r="D8" s="23">
        <v>5601</v>
      </c>
      <c r="E8" s="23">
        <v>157</v>
      </c>
      <c r="F8" s="24">
        <v>0.96740000000000004</v>
      </c>
      <c r="G8" s="25">
        <v>93.4</v>
      </c>
      <c r="H8" s="16"/>
    </row>
    <row r="9" spans="1:8" ht="19.5" customHeight="1" x14ac:dyDescent="0.25">
      <c r="A9" s="26" t="s">
        <v>32</v>
      </c>
      <c r="B9" s="27">
        <v>55.67</v>
      </c>
      <c r="C9" s="27">
        <v>41.2</v>
      </c>
      <c r="D9" s="28">
        <v>6121</v>
      </c>
      <c r="E9" s="28">
        <v>161</v>
      </c>
      <c r="F9" s="29">
        <v>0.96430000000000005</v>
      </c>
      <c r="G9" s="30">
        <v>102</v>
      </c>
      <c r="H9" s="16"/>
    </row>
    <row r="10" spans="1:8" ht="19.5" customHeight="1" x14ac:dyDescent="0.25">
      <c r="A10" s="21" t="s">
        <v>33</v>
      </c>
      <c r="B10" s="22">
        <v>78.03</v>
      </c>
      <c r="C10" s="22">
        <v>29.8</v>
      </c>
      <c r="D10" s="23">
        <v>3828</v>
      </c>
      <c r="E10" s="23">
        <v>123</v>
      </c>
      <c r="F10" s="24">
        <v>0.97770000000000001</v>
      </c>
      <c r="G10" s="25">
        <v>63.8</v>
      </c>
      <c r="H10" s="16"/>
    </row>
    <row r="11" spans="1:8" ht="19.5" customHeight="1" x14ac:dyDescent="0.25">
      <c r="A11" s="26" t="s">
        <v>34</v>
      </c>
      <c r="B11" s="27">
        <v>82.29</v>
      </c>
      <c r="C11" s="27">
        <v>38</v>
      </c>
      <c r="D11" s="28">
        <v>4155</v>
      </c>
      <c r="E11" s="28">
        <v>106</v>
      </c>
      <c r="F11" s="29">
        <v>0.9758</v>
      </c>
      <c r="G11" s="30">
        <v>69.2</v>
      </c>
      <c r="H11" s="16"/>
    </row>
    <row r="12" spans="1:8" ht="19.5" customHeight="1" x14ac:dyDescent="0.25">
      <c r="A12" s="21" t="s">
        <v>35</v>
      </c>
      <c r="B12" s="22">
        <v>80.14</v>
      </c>
      <c r="C12" s="22">
        <v>39.4</v>
      </c>
      <c r="D12" s="23">
        <v>4975</v>
      </c>
      <c r="E12" s="23">
        <v>119</v>
      </c>
      <c r="F12" s="24">
        <v>0.97099999999999997</v>
      </c>
      <c r="G12" s="25">
        <v>82.9</v>
      </c>
      <c r="H12" s="16"/>
    </row>
    <row r="13" spans="1:8" ht="19.5" customHeight="1" x14ac:dyDescent="0.25">
      <c r="A13" s="26" t="s">
        <v>36</v>
      </c>
      <c r="B13" s="27">
        <v>76.47</v>
      </c>
      <c r="C13" s="27">
        <v>54.2</v>
      </c>
      <c r="D13" s="28">
        <v>6200</v>
      </c>
      <c r="E13" s="28">
        <v>112</v>
      </c>
      <c r="F13" s="29">
        <v>0.96389999999999998</v>
      </c>
      <c r="G13" s="30">
        <v>103.3</v>
      </c>
      <c r="H13" s="16"/>
    </row>
    <row r="14" spans="1:8" ht="19.5" customHeight="1" x14ac:dyDescent="0.25">
      <c r="A14" s="21" t="s">
        <v>37</v>
      </c>
      <c r="B14" s="22">
        <v>55.33</v>
      </c>
      <c r="C14" s="22">
        <v>54.2</v>
      </c>
      <c r="D14" s="23">
        <v>7796</v>
      </c>
      <c r="E14" s="23">
        <v>166</v>
      </c>
      <c r="F14" s="24">
        <v>0.9546</v>
      </c>
      <c r="G14" s="25">
        <v>129.9</v>
      </c>
      <c r="H14" s="16"/>
    </row>
    <row r="15" spans="1:8" ht="19.5" customHeight="1" x14ac:dyDescent="0.25">
      <c r="A15" s="26" t="s">
        <v>38</v>
      </c>
      <c r="B15" s="27">
        <v>53.8</v>
      </c>
      <c r="C15" s="27">
        <v>56.8</v>
      </c>
      <c r="D15" s="28">
        <v>7696</v>
      </c>
      <c r="E15" s="28">
        <v>138</v>
      </c>
      <c r="F15" s="29">
        <v>0.95520000000000005</v>
      </c>
      <c r="G15" s="30">
        <v>128.30000000000001</v>
      </c>
      <c r="H15" s="16"/>
    </row>
    <row r="16" spans="1:8" ht="19.5" customHeight="1" x14ac:dyDescent="0.25">
      <c r="A16" s="21" t="s">
        <v>39</v>
      </c>
      <c r="B16" s="22">
        <v>122.97</v>
      </c>
      <c r="C16" s="22">
        <v>72</v>
      </c>
      <c r="D16" s="23">
        <v>5513</v>
      </c>
      <c r="E16" s="23">
        <v>80</v>
      </c>
      <c r="F16" s="24">
        <v>0.96789999999999998</v>
      </c>
      <c r="G16" s="25">
        <v>91.9</v>
      </c>
      <c r="H16" s="16"/>
    </row>
    <row r="17" spans="1:8" ht="19.5" customHeight="1" x14ac:dyDescent="0.25">
      <c r="A17" s="26" t="s">
        <v>40</v>
      </c>
      <c r="B17" s="27">
        <v>139.56</v>
      </c>
      <c r="C17" s="27">
        <v>49</v>
      </c>
      <c r="D17" s="28">
        <v>16747</v>
      </c>
      <c r="E17" s="28">
        <v>60</v>
      </c>
      <c r="F17" s="29">
        <v>0.90239999999999998</v>
      </c>
      <c r="G17" s="30">
        <v>279.10000000000002</v>
      </c>
      <c r="H17" s="16"/>
    </row>
    <row r="18" spans="1:8" ht="21.75" customHeight="1" x14ac:dyDescent="0.25">
      <c r="A18" s="31" t="s">
        <v>41</v>
      </c>
      <c r="B18" s="32">
        <f>AVERAGEIF(B6:B17,"&gt;0")</f>
        <v>80.789166666666674</v>
      </c>
      <c r="C18" s="32">
        <f>AVERAGE(C6:C17)</f>
        <v>48.913333333333334</v>
      </c>
      <c r="D18" s="33">
        <f>SUM(D6:D17)</f>
        <v>76645</v>
      </c>
      <c r="E18" s="33">
        <f>SUM(E6:E17)</f>
        <v>1422</v>
      </c>
      <c r="F18" s="34">
        <f>AVERAGE(F6:F17)</f>
        <v>0.9627916666666666</v>
      </c>
      <c r="G18" s="35">
        <f>SUM(G6:G17)</f>
        <v>1277.3999999999999</v>
      </c>
      <c r="H18" s="16"/>
    </row>
    <row r="19" spans="1:8" ht="7.5" customHeight="1" x14ac:dyDescent="0.25">
      <c r="A19" s="16"/>
      <c r="B19" s="16"/>
      <c r="C19" s="16"/>
      <c r="D19" s="16"/>
      <c r="E19" s="16"/>
      <c r="F19" s="16"/>
      <c r="G19" s="16"/>
      <c r="H19" s="16"/>
    </row>
    <row r="20" spans="1:8" ht="19.5" customHeight="1" x14ac:dyDescent="0.25">
      <c r="A20" s="109" t="s">
        <v>42</v>
      </c>
      <c r="B20" s="109"/>
      <c r="C20" s="109"/>
      <c r="D20" s="109"/>
      <c r="E20" s="109"/>
      <c r="F20" s="109"/>
      <c r="G20" s="109"/>
      <c r="H20" s="16"/>
    </row>
    <row r="21" spans="1:8" ht="27.75" customHeight="1" x14ac:dyDescent="0.25">
      <c r="A21" s="20" t="s">
        <v>43</v>
      </c>
      <c r="B21" s="20" t="s">
        <v>23</v>
      </c>
      <c r="C21" s="20" t="s">
        <v>24</v>
      </c>
      <c r="D21" s="20" t="s">
        <v>44</v>
      </c>
      <c r="E21" s="20" t="s">
        <v>26</v>
      </c>
      <c r="F21" s="20" t="s">
        <v>27</v>
      </c>
      <c r="G21" s="20"/>
      <c r="H21" s="16"/>
    </row>
    <row r="22" spans="1:8" ht="19.5" customHeight="1" x14ac:dyDescent="0.25">
      <c r="A22" s="21" t="s">
        <v>45</v>
      </c>
      <c r="B22" s="22">
        <v>59.13</v>
      </c>
      <c r="C22" s="22">
        <v>43.03</v>
      </c>
      <c r="D22" s="25">
        <v>308</v>
      </c>
      <c r="E22" s="23">
        <v>374</v>
      </c>
      <c r="F22" s="24">
        <v>0.95509999999999995</v>
      </c>
      <c r="G22" s="36"/>
      <c r="H22" s="16"/>
    </row>
    <row r="23" spans="1:8" ht="19.5" customHeight="1" x14ac:dyDescent="0.25">
      <c r="A23" s="26" t="s">
        <v>46</v>
      </c>
      <c r="B23" s="27">
        <v>49.96</v>
      </c>
      <c r="C23" s="27">
        <v>41.09</v>
      </c>
      <c r="D23" s="30">
        <v>257.5</v>
      </c>
      <c r="E23" s="28">
        <v>382</v>
      </c>
      <c r="F23" s="29">
        <v>0.96250000000000002</v>
      </c>
      <c r="G23" s="37"/>
      <c r="H23" s="16"/>
    </row>
    <row r="24" spans="1:8" ht="19.5" customHeight="1" x14ac:dyDescent="0.25">
      <c r="A24" s="21" t="s">
        <v>47</v>
      </c>
      <c r="B24" s="22">
        <v>60.87</v>
      </c>
      <c r="C24" s="22">
        <v>46.72</v>
      </c>
      <c r="D24" s="25">
        <v>225.5</v>
      </c>
      <c r="E24" s="23">
        <v>310</v>
      </c>
      <c r="F24" s="24">
        <v>0.96709999999999996</v>
      </c>
      <c r="G24" s="36"/>
      <c r="H24" s="16"/>
    </row>
    <row r="25" spans="1:8" ht="19.5" customHeight="1" x14ac:dyDescent="0.25">
      <c r="A25" s="26" t="s">
        <v>48</v>
      </c>
      <c r="B25" s="27">
        <v>135.29</v>
      </c>
      <c r="C25" s="27">
        <v>51.15</v>
      </c>
      <c r="D25" s="30">
        <v>225</v>
      </c>
      <c r="E25" s="28">
        <v>169</v>
      </c>
      <c r="F25" s="29">
        <v>0.96719999999999995</v>
      </c>
      <c r="G25" s="37"/>
      <c r="H25" s="16"/>
    </row>
    <row r="26" spans="1:8" ht="19.5" customHeight="1" x14ac:dyDescent="0.25">
      <c r="A26" s="21" t="s">
        <v>49</v>
      </c>
      <c r="B26" s="22">
        <v>98.7</v>
      </c>
      <c r="C26" s="22">
        <v>62.56</v>
      </c>
      <c r="D26" s="25">
        <v>261.5</v>
      </c>
      <c r="E26" s="23">
        <v>187</v>
      </c>
      <c r="F26" s="24">
        <v>0.96189999999999998</v>
      </c>
      <c r="G26" s="36"/>
      <c r="H26" s="16"/>
    </row>
    <row r="27" spans="1:8" ht="21.75" customHeight="1" x14ac:dyDescent="0.25">
      <c r="A27" s="31" t="s">
        <v>50</v>
      </c>
      <c r="B27" s="32">
        <f>AVERAGE(B22:B26)</f>
        <v>80.789999999999992</v>
      </c>
      <c r="C27" s="32">
        <f>AVERAGE(C22:C26)</f>
        <v>48.910000000000004</v>
      </c>
      <c r="D27" s="35">
        <f>SUM(D22:D26)</f>
        <v>1277.5</v>
      </c>
      <c r="E27" s="33">
        <f>SUM(E22:E26)</f>
        <v>1422</v>
      </c>
      <c r="F27" s="34">
        <f>AVERAGE(F22:F26)</f>
        <v>0.96276000000000006</v>
      </c>
      <c r="G27" s="16"/>
      <c r="H27" s="16"/>
    </row>
    <row r="28" spans="1:8" ht="6" customHeight="1" x14ac:dyDescent="0.25">
      <c r="A28" s="16"/>
      <c r="B28" s="16"/>
      <c r="C28" s="16"/>
      <c r="D28" s="16"/>
      <c r="E28" s="16"/>
      <c r="F28" s="16"/>
      <c r="G28" s="16"/>
      <c r="H28" s="16"/>
    </row>
    <row r="29" spans="1:8" ht="18" customHeight="1" x14ac:dyDescent="0.25">
      <c r="A29" s="110" t="s">
        <v>51</v>
      </c>
      <c r="B29" s="110"/>
      <c r="C29" s="110"/>
      <c r="D29" s="110"/>
      <c r="E29" s="110"/>
      <c r="F29" s="110"/>
      <c r="G29" s="110"/>
      <c r="H29" s="16"/>
    </row>
    <row r="30" spans="1:8" ht="15" customHeight="1" x14ac:dyDescent="0.25">
      <c r="A30" s="16"/>
      <c r="B30" s="16"/>
      <c r="C30" s="16"/>
      <c r="D30" s="16"/>
      <c r="E30" s="16"/>
      <c r="F30" s="16"/>
      <c r="G30" s="16"/>
      <c r="H30" s="16"/>
    </row>
    <row r="31" spans="1:8" ht="15" customHeight="1" x14ac:dyDescent="0.25">
      <c r="A31" s="16"/>
      <c r="B31" s="16"/>
      <c r="C31" s="16"/>
      <c r="D31" s="16"/>
      <c r="E31" s="16"/>
      <c r="F31" s="16"/>
      <c r="G31" s="16"/>
      <c r="H31" s="16"/>
    </row>
    <row r="32" spans="1:8" ht="15" customHeight="1" x14ac:dyDescent="0.25">
      <c r="A32" s="16"/>
      <c r="B32" s="16"/>
      <c r="C32" s="16"/>
      <c r="D32" s="16"/>
      <c r="E32" s="16"/>
      <c r="F32" s="16"/>
      <c r="G32" s="16"/>
      <c r="H32" s="16"/>
    </row>
    <row r="33" spans="1:8" ht="15" customHeight="1" x14ac:dyDescent="0.25">
      <c r="A33" s="16"/>
      <c r="B33" s="16"/>
      <c r="C33" s="16"/>
      <c r="D33" s="16"/>
      <c r="E33" s="16"/>
      <c r="F33" s="16"/>
      <c r="G33" s="16"/>
      <c r="H33" s="16"/>
    </row>
    <row r="34" spans="1:8" ht="15" customHeight="1" x14ac:dyDescent="0.25">
      <c r="A34" s="16"/>
      <c r="B34" s="16"/>
      <c r="C34" s="16"/>
      <c r="D34" s="16"/>
      <c r="E34" s="16"/>
      <c r="F34" s="16"/>
      <c r="G34" s="16"/>
      <c r="H34" s="16"/>
    </row>
  </sheetData>
  <mergeCells count="5">
    <mergeCell ref="A2:G2"/>
    <mergeCell ref="A3:G3"/>
    <mergeCell ref="A4:G4"/>
    <mergeCell ref="A20:G20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4E1E"/>
  </sheetPr>
  <dimension ref="A1:H34"/>
  <sheetViews>
    <sheetView showGridLines="0" tabSelected="1" zoomScaleNormal="100" workbookViewId="0">
      <selection activeCell="B7" sqref="B7"/>
    </sheetView>
  </sheetViews>
  <sheetFormatPr defaultColWidth="8.7109375" defaultRowHeight="15" x14ac:dyDescent="0.25"/>
  <cols>
    <col min="1" max="1" width="16" style="15" customWidth="1"/>
    <col min="2" max="3" width="13" style="15" customWidth="1"/>
    <col min="4" max="4" width="14" style="15" customWidth="1"/>
    <col min="5" max="6" width="12" style="15" customWidth="1"/>
    <col min="7" max="7" width="13" style="15" customWidth="1"/>
  </cols>
  <sheetData>
    <row r="1" spans="1:8" ht="7.5" customHeight="1" x14ac:dyDescent="0.25">
      <c r="A1" s="16"/>
      <c r="B1" s="16"/>
      <c r="C1" s="16"/>
      <c r="D1" s="16"/>
      <c r="E1" s="16"/>
      <c r="F1" s="16"/>
      <c r="G1" s="16"/>
      <c r="H1" s="16"/>
    </row>
    <row r="2" spans="1:8" ht="37.5" customHeight="1" x14ac:dyDescent="0.25">
      <c r="A2" s="111" t="s">
        <v>52</v>
      </c>
      <c r="B2" s="111"/>
      <c r="C2" s="111"/>
      <c r="D2" s="111"/>
      <c r="E2" s="111"/>
      <c r="F2" s="111"/>
      <c r="G2" s="111"/>
      <c r="H2" s="16"/>
    </row>
    <row r="3" spans="1:8" ht="19.5" customHeight="1" x14ac:dyDescent="0.25">
      <c r="A3" s="108" t="s">
        <v>20</v>
      </c>
      <c r="B3" s="108"/>
      <c r="C3" s="108"/>
      <c r="D3" s="108"/>
      <c r="E3" s="108"/>
      <c r="F3" s="108"/>
      <c r="G3" s="108"/>
      <c r="H3" s="16"/>
    </row>
    <row r="4" spans="1:8" ht="7.5" customHeight="1" x14ac:dyDescent="0.25">
      <c r="A4" s="112" t="s">
        <v>21</v>
      </c>
      <c r="B4" s="112"/>
      <c r="C4" s="112"/>
      <c r="D4" s="112"/>
      <c r="E4" s="112"/>
      <c r="F4" s="112"/>
      <c r="G4" s="112"/>
      <c r="H4" s="16"/>
    </row>
    <row r="5" spans="1:8" ht="27.75" customHeight="1" x14ac:dyDescent="0.25">
      <c r="A5" s="38" t="s">
        <v>22</v>
      </c>
      <c r="B5" s="38" t="s">
        <v>23</v>
      </c>
      <c r="C5" s="38" t="s">
        <v>24</v>
      </c>
      <c r="D5" s="38" t="s">
        <v>25</v>
      </c>
      <c r="E5" s="38" t="s">
        <v>26</v>
      </c>
      <c r="F5" s="38" t="s">
        <v>27</v>
      </c>
      <c r="G5" s="38" t="s">
        <v>28</v>
      </c>
      <c r="H5" s="16"/>
    </row>
    <row r="6" spans="1:8" ht="19.5" customHeight="1" x14ac:dyDescent="0.25">
      <c r="A6" s="21" t="s">
        <v>53</v>
      </c>
      <c r="B6" s="39">
        <v>175.53</v>
      </c>
      <c r="C6" s="39">
        <v>39.57</v>
      </c>
      <c r="D6" s="40">
        <v>3051</v>
      </c>
      <c r="E6" s="40">
        <v>73</v>
      </c>
      <c r="F6" s="41">
        <v>0.98219999999999996</v>
      </c>
      <c r="G6" s="42">
        <v>50.8</v>
      </c>
      <c r="H6" s="16"/>
    </row>
    <row r="7" spans="1:8" ht="19.5" customHeight="1" x14ac:dyDescent="0.25">
      <c r="A7" s="26" t="s">
        <v>54</v>
      </c>
      <c r="B7" s="43"/>
      <c r="C7" s="43">
        <v>46.31</v>
      </c>
      <c r="D7" s="44">
        <v>1694</v>
      </c>
      <c r="E7" s="44">
        <v>32</v>
      </c>
      <c r="F7" s="45">
        <v>0.99009999999999998</v>
      </c>
      <c r="G7" s="46">
        <v>28.2</v>
      </c>
      <c r="H7" s="16"/>
    </row>
    <row r="8" spans="1:8" ht="19.5" customHeight="1" x14ac:dyDescent="0.25">
      <c r="A8" s="21" t="s">
        <v>55</v>
      </c>
      <c r="B8" s="39">
        <v>164.78</v>
      </c>
      <c r="C8" s="39">
        <v>63.45</v>
      </c>
      <c r="D8" s="40">
        <v>3786</v>
      </c>
      <c r="E8" s="40">
        <v>59</v>
      </c>
      <c r="F8" s="41">
        <v>0.97789999999999999</v>
      </c>
      <c r="G8" s="42">
        <v>63.1</v>
      </c>
      <c r="H8" s="16"/>
    </row>
    <row r="9" spans="1:8" ht="19.5" customHeight="1" x14ac:dyDescent="0.25">
      <c r="A9" s="26" t="s">
        <v>56</v>
      </c>
      <c r="B9" s="43">
        <v>148.1</v>
      </c>
      <c r="C9" s="43">
        <v>50.23</v>
      </c>
      <c r="D9" s="44">
        <v>2832</v>
      </c>
      <c r="E9" s="44">
        <v>56</v>
      </c>
      <c r="F9" s="45">
        <v>0.98350000000000004</v>
      </c>
      <c r="G9" s="46">
        <v>47.2</v>
      </c>
      <c r="H9" s="16"/>
    </row>
    <row r="10" spans="1:8" ht="19.5" customHeight="1" x14ac:dyDescent="0.25">
      <c r="A10" s="21" t="s">
        <v>57</v>
      </c>
      <c r="B10" s="39"/>
      <c r="C10" s="39">
        <v>36.11</v>
      </c>
      <c r="D10" s="40">
        <v>1154</v>
      </c>
      <c r="E10" s="40">
        <v>24</v>
      </c>
      <c r="F10" s="41">
        <v>0.99329999999999996</v>
      </c>
      <c r="G10" s="42">
        <v>19.2</v>
      </c>
      <c r="H10" s="16"/>
    </row>
    <row r="11" spans="1:8" ht="19.5" customHeight="1" x14ac:dyDescent="0.25">
      <c r="A11" s="26" t="s">
        <v>58</v>
      </c>
      <c r="B11" s="43">
        <v>163.6</v>
      </c>
      <c r="C11" s="43">
        <v>47.03</v>
      </c>
      <c r="D11" s="44">
        <v>2291</v>
      </c>
      <c r="E11" s="44">
        <v>49</v>
      </c>
      <c r="F11" s="45">
        <v>0.98660000000000003</v>
      </c>
      <c r="G11" s="46">
        <v>38.200000000000003</v>
      </c>
      <c r="H11" s="16"/>
    </row>
    <row r="12" spans="1:8" ht="19.5" customHeight="1" x14ac:dyDescent="0.25">
      <c r="A12" s="21" t="s">
        <v>59</v>
      </c>
      <c r="B12" s="39">
        <v>546.98</v>
      </c>
      <c r="C12" s="39">
        <v>61.75</v>
      </c>
      <c r="D12" s="40">
        <v>1935</v>
      </c>
      <c r="E12" s="40">
        <v>33</v>
      </c>
      <c r="F12" s="41">
        <v>0.98870000000000002</v>
      </c>
      <c r="G12" s="42">
        <v>32.200000000000003</v>
      </c>
      <c r="H12" s="16"/>
    </row>
    <row r="13" spans="1:8" ht="19.5" customHeight="1" x14ac:dyDescent="0.25">
      <c r="A13" s="26" t="s">
        <v>60</v>
      </c>
      <c r="B13" s="43">
        <v>314.72000000000003</v>
      </c>
      <c r="C13" s="43">
        <v>63.5</v>
      </c>
      <c r="D13" s="44">
        <v>2029</v>
      </c>
      <c r="E13" s="44">
        <v>31</v>
      </c>
      <c r="F13" s="45">
        <v>0.98819999999999997</v>
      </c>
      <c r="G13" s="46">
        <v>33.799999999999997</v>
      </c>
      <c r="H13" s="16"/>
    </row>
    <row r="14" spans="1:8" ht="19.5" customHeight="1" x14ac:dyDescent="0.25">
      <c r="A14" s="21" t="s">
        <v>61</v>
      </c>
      <c r="B14" s="39"/>
      <c r="C14" s="39">
        <v>67.180000000000007</v>
      </c>
      <c r="D14" s="40">
        <v>1920</v>
      </c>
      <c r="E14" s="40">
        <v>23</v>
      </c>
      <c r="F14" s="41">
        <v>0.98880000000000001</v>
      </c>
      <c r="G14" s="42">
        <v>32</v>
      </c>
      <c r="H14" s="16"/>
    </row>
    <row r="15" spans="1:8" ht="19.5" customHeight="1" x14ac:dyDescent="0.25">
      <c r="A15" s="26" t="s">
        <v>62</v>
      </c>
      <c r="B15" s="43">
        <v>517.86</v>
      </c>
      <c r="C15" s="43">
        <v>56.33</v>
      </c>
      <c r="D15" s="44">
        <v>2416</v>
      </c>
      <c r="E15" s="44">
        <v>34</v>
      </c>
      <c r="F15" s="45">
        <v>0.9859</v>
      </c>
      <c r="G15" s="46">
        <v>40.299999999999997</v>
      </c>
      <c r="H15" s="16"/>
    </row>
    <row r="16" spans="1:8" ht="19.5" customHeight="1" x14ac:dyDescent="0.25">
      <c r="A16" s="21" t="s">
        <v>63</v>
      </c>
      <c r="B16" s="39">
        <v>505.39</v>
      </c>
      <c r="C16" s="39">
        <v>51.65</v>
      </c>
      <c r="D16" s="40">
        <v>1381</v>
      </c>
      <c r="E16" s="40">
        <v>27</v>
      </c>
      <c r="F16" s="41">
        <v>0.9919</v>
      </c>
      <c r="G16" s="42">
        <v>23</v>
      </c>
      <c r="H16" s="16"/>
    </row>
    <row r="17" spans="1:8" ht="19.5" customHeight="1" x14ac:dyDescent="0.25">
      <c r="A17" s="26" t="s">
        <v>64</v>
      </c>
      <c r="B17" s="43"/>
      <c r="C17" s="43">
        <v>82</v>
      </c>
      <c r="D17" s="44">
        <v>1095</v>
      </c>
      <c r="E17" s="44">
        <v>22</v>
      </c>
      <c r="F17" s="45">
        <v>0.99360000000000004</v>
      </c>
      <c r="G17" s="46">
        <v>18.2</v>
      </c>
      <c r="H17" s="16"/>
    </row>
    <row r="18" spans="1:8" ht="21.75" customHeight="1" x14ac:dyDescent="0.25">
      <c r="A18" s="47" t="s">
        <v>41</v>
      </c>
      <c r="B18" s="48">
        <f>AVERAGEIF(B6:B17,"&gt;0")</f>
        <v>317.12</v>
      </c>
      <c r="C18" s="48">
        <f>AVERAGE(C6:C17)</f>
        <v>55.425833333333323</v>
      </c>
      <c r="D18" s="49">
        <f>SUM(D6:D17)</f>
        <v>25584</v>
      </c>
      <c r="E18" s="49">
        <f>SUM(E6:E17)</f>
        <v>463</v>
      </c>
      <c r="F18" s="50">
        <f>AVERAGE(F6:F17)</f>
        <v>0.9875583333333332</v>
      </c>
      <c r="G18" s="51">
        <f>SUM(G6:G17)</f>
        <v>426.2</v>
      </c>
      <c r="H18" s="16"/>
    </row>
    <row r="19" spans="1:8" ht="7.5" customHeight="1" x14ac:dyDescent="0.25">
      <c r="A19" s="16"/>
      <c r="B19" s="16"/>
      <c r="C19" s="16"/>
      <c r="D19" s="16"/>
      <c r="E19" s="16"/>
      <c r="F19" s="16"/>
      <c r="G19" s="16"/>
      <c r="H19" s="16"/>
    </row>
    <row r="20" spans="1:8" ht="19.5" customHeight="1" x14ac:dyDescent="0.25">
      <c r="A20" s="112" t="s">
        <v>42</v>
      </c>
      <c r="B20" s="112"/>
      <c r="C20" s="112"/>
      <c r="D20" s="112"/>
      <c r="E20" s="112"/>
      <c r="F20" s="112"/>
      <c r="G20" s="112"/>
      <c r="H20" s="16"/>
    </row>
    <row r="21" spans="1:8" ht="27.75" customHeight="1" x14ac:dyDescent="0.25">
      <c r="A21" s="38" t="s">
        <v>43</v>
      </c>
      <c r="B21" s="38" t="s">
        <v>23</v>
      </c>
      <c r="C21" s="38" t="s">
        <v>24</v>
      </c>
      <c r="D21" s="38" t="s">
        <v>44</v>
      </c>
      <c r="E21" s="38" t="s">
        <v>26</v>
      </c>
      <c r="F21" s="38" t="s">
        <v>27</v>
      </c>
      <c r="G21" s="38"/>
      <c r="H21" s="16"/>
    </row>
    <row r="22" spans="1:8" ht="19.5" customHeight="1" x14ac:dyDescent="0.25">
      <c r="A22" s="21" t="s">
        <v>45</v>
      </c>
      <c r="B22" s="39">
        <v>144.16</v>
      </c>
      <c r="C22" s="39">
        <v>55.55</v>
      </c>
      <c r="D22" s="42">
        <v>139.30000000000001</v>
      </c>
      <c r="E22" s="40">
        <v>164</v>
      </c>
      <c r="F22" s="41">
        <v>0.97970000000000002</v>
      </c>
      <c r="G22" s="52"/>
      <c r="H22" s="16"/>
    </row>
    <row r="23" spans="1:8" ht="19.5" customHeight="1" x14ac:dyDescent="0.25">
      <c r="A23" s="26" t="s">
        <v>46</v>
      </c>
      <c r="B23" s="43">
        <v>185.62</v>
      </c>
      <c r="C23" s="43">
        <v>64.69</v>
      </c>
      <c r="D23" s="46">
        <v>118.3</v>
      </c>
      <c r="E23" s="44">
        <v>110</v>
      </c>
      <c r="F23" s="45">
        <v>0.98280000000000001</v>
      </c>
      <c r="G23" s="53"/>
      <c r="H23" s="16"/>
    </row>
    <row r="24" spans="1:8" ht="19.5" customHeight="1" x14ac:dyDescent="0.25">
      <c r="A24" s="21" t="s">
        <v>47</v>
      </c>
      <c r="B24" s="39">
        <v>236.45</v>
      </c>
      <c r="C24" s="39">
        <v>53.13</v>
      </c>
      <c r="D24" s="42">
        <v>81.099999999999994</v>
      </c>
      <c r="E24" s="40">
        <v>92</v>
      </c>
      <c r="F24" s="41">
        <v>0.98819999999999997</v>
      </c>
      <c r="G24" s="52"/>
      <c r="H24" s="16"/>
    </row>
    <row r="25" spans="1:8" ht="19.5" customHeight="1" x14ac:dyDescent="0.25">
      <c r="A25" s="26" t="s">
        <v>48</v>
      </c>
      <c r="B25" s="43">
        <v>511.5</v>
      </c>
      <c r="C25" s="43">
        <v>38.44</v>
      </c>
      <c r="D25" s="46">
        <v>31.3</v>
      </c>
      <c r="E25" s="44">
        <v>47</v>
      </c>
      <c r="F25" s="45">
        <v>0.99539999999999995</v>
      </c>
      <c r="G25" s="53"/>
      <c r="H25" s="16"/>
    </row>
    <row r="26" spans="1:8" ht="19.5" customHeight="1" x14ac:dyDescent="0.25">
      <c r="A26" s="21" t="s">
        <v>49</v>
      </c>
      <c r="B26" s="39">
        <v>528.37</v>
      </c>
      <c r="C26" s="39">
        <v>65.319999999999993</v>
      </c>
      <c r="D26" s="42">
        <v>56.4</v>
      </c>
      <c r="E26" s="40">
        <v>50</v>
      </c>
      <c r="F26" s="41">
        <v>0.99180000000000001</v>
      </c>
      <c r="G26" s="52"/>
      <c r="H26" s="16"/>
    </row>
    <row r="27" spans="1:8" ht="21.75" customHeight="1" x14ac:dyDescent="0.25">
      <c r="A27" s="47" t="s">
        <v>50</v>
      </c>
      <c r="B27" s="48">
        <f>AVERAGE(B22:B26)</f>
        <v>321.21999999999997</v>
      </c>
      <c r="C27" s="48">
        <f>AVERAGE(C22:C26)</f>
        <v>55.426000000000002</v>
      </c>
      <c r="D27" s="51">
        <f>SUM(D22:D26)</f>
        <v>426.40000000000003</v>
      </c>
      <c r="E27" s="49">
        <f>SUM(E22:E26)</f>
        <v>463</v>
      </c>
      <c r="F27" s="50">
        <f>AVERAGE(F22:F26)</f>
        <v>0.98758000000000001</v>
      </c>
      <c r="G27" s="16"/>
      <c r="H27" s="16"/>
    </row>
    <row r="28" spans="1:8" ht="6" customHeight="1" x14ac:dyDescent="0.25">
      <c r="A28" s="16"/>
      <c r="B28" s="16"/>
      <c r="C28" s="16"/>
      <c r="D28" s="16"/>
      <c r="E28" s="16"/>
      <c r="F28" s="16"/>
      <c r="G28" s="16"/>
      <c r="H28" s="16"/>
    </row>
    <row r="29" spans="1:8" ht="18" customHeight="1" x14ac:dyDescent="0.25">
      <c r="A29" s="110" t="s">
        <v>51</v>
      </c>
      <c r="B29" s="110"/>
      <c r="C29" s="110"/>
      <c r="D29" s="110"/>
      <c r="E29" s="110"/>
      <c r="F29" s="110"/>
      <c r="G29" s="110"/>
      <c r="H29" s="16"/>
    </row>
    <row r="30" spans="1:8" ht="15" customHeight="1" x14ac:dyDescent="0.25">
      <c r="A30" s="16"/>
      <c r="B30" s="16"/>
      <c r="C30" s="16"/>
      <c r="D30" s="16"/>
      <c r="E30" s="16"/>
      <c r="F30" s="16"/>
      <c r="G30" s="16"/>
      <c r="H30" s="16"/>
    </row>
    <row r="31" spans="1:8" ht="15" customHeight="1" x14ac:dyDescent="0.25">
      <c r="A31" s="16"/>
      <c r="B31" s="16"/>
      <c r="C31" s="16"/>
      <c r="D31" s="16"/>
      <c r="E31" s="16"/>
      <c r="F31" s="16"/>
      <c r="G31" s="16"/>
      <c r="H31" s="16"/>
    </row>
    <row r="32" spans="1:8" ht="15" customHeight="1" x14ac:dyDescent="0.25">
      <c r="A32" s="16"/>
      <c r="B32" s="16"/>
      <c r="C32" s="16"/>
      <c r="D32" s="16"/>
      <c r="E32" s="16"/>
      <c r="F32" s="16"/>
      <c r="G32" s="16"/>
      <c r="H32" s="16"/>
    </row>
    <row r="33" spans="1:8" ht="15" customHeight="1" x14ac:dyDescent="0.25">
      <c r="A33" s="16"/>
      <c r="B33" s="16"/>
      <c r="C33" s="16"/>
      <c r="D33" s="16"/>
      <c r="E33" s="16"/>
      <c r="F33" s="16"/>
      <c r="G33" s="16"/>
      <c r="H33" s="16"/>
    </row>
    <row r="34" spans="1:8" ht="15" customHeight="1" x14ac:dyDescent="0.25">
      <c r="A34" s="16"/>
      <c r="B34" s="16"/>
      <c r="C34" s="16"/>
      <c r="D34" s="16"/>
      <c r="E34" s="16"/>
      <c r="F34" s="16"/>
      <c r="G34" s="16"/>
      <c r="H34" s="16"/>
    </row>
  </sheetData>
  <mergeCells count="5">
    <mergeCell ref="A2:G2"/>
    <mergeCell ref="A3:G3"/>
    <mergeCell ref="A4:G4"/>
    <mergeCell ref="A20:G20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4455"/>
  </sheetPr>
  <dimension ref="A1:P79"/>
  <sheetViews>
    <sheetView showGridLines="0" zoomScaleNormal="100" workbookViewId="0">
      <selection sqref="A1:P1"/>
    </sheetView>
  </sheetViews>
  <sheetFormatPr defaultColWidth="8.7109375" defaultRowHeight="15" x14ac:dyDescent="0.25"/>
  <cols>
    <col min="1" max="1" width="13" style="15" customWidth="1"/>
    <col min="2" max="3" width="12" style="15" customWidth="1"/>
    <col min="4" max="4" width="1" style="15" customWidth="1"/>
    <col min="5" max="5" width="13" style="15" customWidth="1"/>
    <col min="6" max="7" width="12" style="15" customWidth="1"/>
    <col min="8" max="8" width="1" style="15" customWidth="1"/>
    <col min="9" max="9" width="13" style="15" customWidth="1"/>
    <col min="10" max="11" width="12" style="15" customWidth="1"/>
    <col min="12" max="12" width="1" style="15" customWidth="1"/>
    <col min="13" max="13" width="13" style="15" customWidth="1"/>
    <col min="14" max="15" width="12" style="15" customWidth="1"/>
    <col min="16" max="16" width="1" style="15" customWidth="1"/>
  </cols>
  <sheetData>
    <row r="1" spans="1:16" ht="15" customHeight="1" x14ac:dyDescent="0.25">
      <c r="A1" s="110" t="s">
        <v>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1:16" ht="19.5" customHeight="1" x14ac:dyDescent="0.25">
      <c r="A2" s="109" t="s">
        <v>66</v>
      </c>
      <c r="B2" s="109"/>
      <c r="C2" s="109"/>
      <c r="D2" s="16"/>
      <c r="E2" s="109" t="s">
        <v>67</v>
      </c>
      <c r="F2" s="109"/>
      <c r="G2" s="109"/>
      <c r="H2" s="16"/>
      <c r="I2" s="109" t="s">
        <v>68</v>
      </c>
      <c r="J2" s="109"/>
      <c r="K2" s="109"/>
      <c r="L2" s="16"/>
      <c r="M2" s="109" t="s">
        <v>69</v>
      </c>
      <c r="N2" s="109"/>
      <c r="O2" s="109"/>
      <c r="P2" s="16"/>
    </row>
    <row r="3" spans="1:16" ht="18" customHeight="1" x14ac:dyDescent="0.25">
      <c r="A3" s="54" t="s">
        <v>70</v>
      </c>
      <c r="B3" s="55" t="s">
        <v>7</v>
      </c>
      <c r="C3" s="56" t="s">
        <v>8</v>
      </c>
      <c r="D3" s="16"/>
      <c r="E3" s="54" t="s">
        <v>70</v>
      </c>
      <c r="F3" s="55" t="s">
        <v>7</v>
      </c>
      <c r="G3" s="56" t="s">
        <v>8</v>
      </c>
      <c r="H3" s="16"/>
      <c r="I3" s="54" t="s">
        <v>70</v>
      </c>
      <c r="J3" s="55" t="s">
        <v>7</v>
      </c>
      <c r="K3" s="56" t="s">
        <v>8</v>
      </c>
      <c r="L3" s="16"/>
      <c r="M3" s="54" t="s">
        <v>70</v>
      </c>
      <c r="N3" s="55" t="s">
        <v>7</v>
      </c>
      <c r="O3" s="56" t="s">
        <v>8</v>
      </c>
      <c r="P3" s="16"/>
    </row>
    <row r="4" spans="1:16" ht="18" customHeight="1" x14ac:dyDescent="0.25">
      <c r="A4" s="57" t="str">
        <f>"Apr"</f>
        <v>Apr</v>
      </c>
      <c r="B4" s="58">
        <f>'FY 2024-25 Data'!E6</f>
        <v>99</v>
      </c>
      <c r="C4" s="59">
        <f>'FY 2025-26 Data'!E6</f>
        <v>73</v>
      </c>
      <c r="D4" s="16"/>
      <c r="E4" s="57" t="str">
        <f>"Apr"</f>
        <v>Apr</v>
      </c>
      <c r="F4" s="60">
        <f>'FY 2024-25 Data'!G6</f>
        <v>57.4</v>
      </c>
      <c r="G4" s="61">
        <f>'FY 2025-26 Data'!G6</f>
        <v>50.8</v>
      </c>
      <c r="H4" s="16"/>
      <c r="I4" s="57" t="str">
        <f>"Apr"</f>
        <v>Apr</v>
      </c>
      <c r="J4" s="60">
        <f>IFERROR(IF('FY 2024-25 Data'!B6&gt;0,'FY 2024-25 Data'!B6,0),0)</f>
        <v>75.61</v>
      </c>
      <c r="K4" s="61">
        <f>IFERROR(IF('FY 2025-26 Data'!B6&gt;0,'FY 2025-26 Data'!B6,0),0)</f>
        <v>175.53</v>
      </c>
      <c r="L4" s="16"/>
      <c r="M4" s="57" t="str">
        <f>"Apr"</f>
        <v>Apr</v>
      </c>
      <c r="N4" s="60">
        <f>'FY 2024-25 Data'!C6</f>
        <v>34.76</v>
      </c>
      <c r="O4" s="61">
        <f>'FY 2025-26 Data'!C6</f>
        <v>39.57</v>
      </c>
      <c r="P4" s="16"/>
    </row>
    <row r="5" spans="1:16" ht="18" customHeight="1" x14ac:dyDescent="0.25">
      <c r="A5" s="62" t="str">
        <f>"May"</f>
        <v>May</v>
      </c>
      <c r="B5" s="63">
        <f>'FY 2024-25 Data'!E7</f>
        <v>101</v>
      </c>
      <c r="C5" s="64">
        <f>'FY 2025-26 Data'!E7</f>
        <v>32</v>
      </c>
      <c r="D5" s="16"/>
      <c r="E5" s="62" t="str">
        <f>"May"</f>
        <v>May</v>
      </c>
      <c r="F5" s="65">
        <f>'FY 2024-25 Data'!G7</f>
        <v>76.2</v>
      </c>
      <c r="G5" s="66">
        <f>'FY 2025-26 Data'!G7</f>
        <v>28.2</v>
      </c>
      <c r="H5" s="16"/>
      <c r="I5" s="62" t="str">
        <f>"May"</f>
        <v>May</v>
      </c>
      <c r="J5" s="65">
        <f>IFERROR(IF('FY 2024-25 Data'!B7&gt;0,'FY 2024-25 Data'!B7,0),0)</f>
        <v>87.39</v>
      </c>
      <c r="K5" s="66">
        <f>IFERROR(IF('FY 2025-26 Data'!B7&gt;0,'FY 2025-26 Data'!B7,0),0)</f>
        <v>0</v>
      </c>
      <c r="L5" s="16"/>
      <c r="M5" s="62" t="str">
        <f>"May"</f>
        <v>May</v>
      </c>
      <c r="N5" s="65">
        <f>'FY 2024-25 Data'!C7</f>
        <v>79.400000000000006</v>
      </c>
      <c r="O5" s="66">
        <f>'FY 2025-26 Data'!C7</f>
        <v>46.31</v>
      </c>
      <c r="P5" s="16"/>
    </row>
    <row r="6" spans="1:16" ht="18" customHeight="1" x14ac:dyDescent="0.25">
      <c r="A6" s="57" t="str">
        <f>"Jun"</f>
        <v>Jun</v>
      </c>
      <c r="B6" s="58">
        <f>'FY 2024-25 Data'!E8</f>
        <v>157</v>
      </c>
      <c r="C6" s="59">
        <f>'FY 2025-26 Data'!E8</f>
        <v>59</v>
      </c>
      <c r="D6" s="16"/>
      <c r="E6" s="57" t="str">
        <f>"Jun"</f>
        <v>Jun</v>
      </c>
      <c r="F6" s="60">
        <f>'FY 2024-25 Data'!G8</f>
        <v>93.4</v>
      </c>
      <c r="G6" s="61">
        <f>'FY 2025-26 Data'!G8</f>
        <v>63.1</v>
      </c>
      <c r="H6" s="16"/>
      <c r="I6" s="57" t="str">
        <f>"Jun"</f>
        <v>Jun</v>
      </c>
      <c r="J6" s="60">
        <f>IFERROR(IF('FY 2024-25 Data'!B8&gt;0,'FY 2024-25 Data'!B8,0),0)</f>
        <v>62.21</v>
      </c>
      <c r="K6" s="61">
        <f>IFERROR(IF('FY 2025-26 Data'!B8&gt;0,'FY 2025-26 Data'!B8,0),0)</f>
        <v>164.78</v>
      </c>
      <c r="L6" s="16"/>
      <c r="M6" s="57" t="str">
        <f>"Jun"</f>
        <v>Jun</v>
      </c>
      <c r="N6" s="60">
        <f>'FY 2024-25 Data'!C8</f>
        <v>38.200000000000003</v>
      </c>
      <c r="O6" s="61">
        <f>'FY 2025-26 Data'!C8</f>
        <v>63.45</v>
      </c>
      <c r="P6" s="16"/>
    </row>
    <row r="7" spans="1:16" ht="18" customHeight="1" x14ac:dyDescent="0.25">
      <c r="A7" s="62" t="str">
        <f>"Jul"</f>
        <v>Jul</v>
      </c>
      <c r="B7" s="63">
        <f>'FY 2024-25 Data'!E9</f>
        <v>161</v>
      </c>
      <c r="C7" s="64">
        <f>'FY 2025-26 Data'!E9</f>
        <v>56</v>
      </c>
      <c r="D7" s="16"/>
      <c r="E7" s="62" t="str">
        <f>"Jul"</f>
        <v>Jul</v>
      </c>
      <c r="F7" s="65">
        <f>'FY 2024-25 Data'!G9</f>
        <v>102</v>
      </c>
      <c r="G7" s="66">
        <f>'FY 2025-26 Data'!G9</f>
        <v>47.2</v>
      </c>
      <c r="H7" s="16"/>
      <c r="I7" s="62" t="str">
        <f>"Jul"</f>
        <v>Jul</v>
      </c>
      <c r="J7" s="65">
        <f>IFERROR(IF('FY 2024-25 Data'!B9&gt;0,'FY 2024-25 Data'!B9,0),0)</f>
        <v>55.67</v>
      </c>
      <c r="K7" s="66">
        <f>IFERROR(IF('FY 2025-26 Data'!B9&gt;0,'FY 2025-26 Data'!B9,0),0)</f>
        <v>148.1</v>
      </c>
      <c r="L7" s="16"/>
      <c r="M7" s="62" t="str">
        <f>"Jul"</f>
        <v>Jul</v>
      </c>
      <c r="N7" s="65">
        <f>'FY 2024-25 Data'!C9</f>
        <v>41.2</v>
      </c>
      <c r="O7" s="66">
        <f>'FY 2025-26 Data'!C9</f>
        <v>50.23</v>
      </c>
      <c r="P7" s="16"/>
    </row>
    <row r="8" spans="1:16" ht="18" customHeight="1" x14ac:dyDescent="0.25">
      <c r="A8" s="57" t="str">
        <f>"Aug"</f>
        <v>Aug</v>
      </c>
      <c r="B8" s="58">
        <f>'FY 2024-25 Data'!E10</f>
        <v>123</v>
      </c>
      <c r="C8" s="59">
        <f>'FY 2025-26 Data'!E10</f>
        <v>24</v>
      </c>
      <c r="D8" s="16"/>
      <c r="E8" s="57" t="str">
        <f>"Aug"</f>
        <v>Aug</v>
      </c>
      <c r="F8" s="60">
        <f>'FY 2024-25 Data'!G10</f>
        <v>63.8</v>
      </c>
      <c r="G8" s="61">
        <f>'FY 2025-26 Data'!G10</f>
        <v>19.2</v>
      </c>
      <c r="H8" s="16"/>
      <c r="I8" s="57" t="str">
        <f>"Aug"</f>
        <v>Aug</v>
      </c>
      <c r="J8" s="60">
        <f>IFERROR(IF('FY 2024-25 Data'!B10&gt;0,'FY 2024-25 Data'!B10,0),0)</f>
        <v>78.03</v>
      </c>
      <c r="K8" s="61">
        <f>IFERROR(IF('FY 2025-26 Data'!B10&gt;0,'FY 2025-26 Data'!B10,0),0)</f>
        <v>0</v>
      </c>
      <c r="L8" s="16"/>
      <c r="M8" s="57" t="str">
        <f>"Aug"</f>
        <v>Aug</v>
      </c>
      <c r="N8" s="60">
        <f>'FY 2024-25 Data'!C10</f>
        <v>29.8</v>
      </c>
      <c r="O8" s="61">
        <f>'FY 2025-26 Data'!C10</f>
        <v>36.11</v>
      </c>
      <c r="P8" s="16"/>
    </row>
    <row r="9" spans="1:16" ht="18" customHeight="1" x14ac:dyDescent="0.25">
      <c r="A9" s="62" t="str">
        <f>"Sep"</f>
        <v>Sep</v>
      </c>
      <c r="B9" s="63">
        <f>'FY 2024-25 Data'!E11</f>
        <v>106</v>
      </c>
      <c r="C9" s="64">
        <f>'FY 2025-26 Data'!E11</f>
        <v>49</v>
      </c>
      <c r="D9" s="16"/>
      <c r="E9" s="62" t="str">
        <f>"Sep"</f>
        <v>Sep</v>
      </c>
      <c r="F9" s="65">
        <f>'FY 2024-25 Data'!G11</f>
        <v>69.2</v>
      </c>
      <c r="G9" s="66">
        <f>'FY 2025-26 Data'!G11</f>
        <v>38.200000000000003</v>
      </c>
      <c r="H9" s="16"/>
      <c r="I9" s="62" t="str">
        <f>"Sep"</f>
        <v>Sep</v>
      </c>
      <c r="J9" s="65">
        <f>IFERROR(IF('FY 2024-25 Data'!B11&gt;0,'FY 2024-25 Data'!B11,0),0)</f>
        <v>82.29</v>
      </c>
      <c r="K9" s="66">
        <f>IFERROR(IF('FY 2025-26 Data'!B11&gt;0,'FY 2025-26 Data'!B11,0),0)</f>
        <v>163.6</v>
      </c>
      <c r="L9" s="16"/>
      <c r="M9" s="62" t="str">
        <f>"Sep"</f>
        <v>Sep</v>
      </c>
      <c r="N9" s="65">
        <f>'FY 2024-25 Data'!C11</f>
        <v>38</v>
      </c>
      <c r="O9" s="66">
        <f>'FY 2025-26 Data'!C11</f>
        <v>47.03</v>
      </c>
      <c r="P9" s="16"/>
    </row>
    <row r="10" spans="1:16" ht="18" customHeight="1" x14ac:dyDescent="0.25">
      <c r="A10" s="57" t="str">
        <f>"Oct"</f>
        <v>Oct</v>
      </c>
      <c r="B10" s="58">
        <f>'FY 2024-25 Data'!E12</f>
        <v>119</v>
      </c>
      <c r="C10" s="59">
        <f>'FY 2025-26 Data'!E12</f>
        <v>33</v>
      </c>
      <c r="D10" s="16"/>
      <c r="E10" s="57" t="str">
        <f>"Oct"</f>
        <v>Oct</v>
      </c>
      <c r="F10" s="60">
        <f>'FY 2024-25 Data'!G12</f>
        <v>82.9</v>
      </c>
      <c r="G10" s="61">
        <f>'FY 2025-26 Data'!G12</f>
        <v>32.200000000000003</v>
      </c>
      <c r="H10" s="16"/>
      <c r="I10" s="57" t="str">
        <f>"Oct"</f>
        <v>Oct</v>
      </c>
      <c r="J10" s="60">
        <f>IFERROR(IF('FY 2024-25 Data'!B12&gt;0,'FY 2024-25 Data'!B12,0),0)</f>
        <v>80.14</v>
      </c>
      <c r="K10" s="61">
        <f>IFERROR(IF('FY 2025-26 Data'!B12&gt;0,'FY 2025-26 Data'!B12,0),0)</f>
        <v>546.98</v>
      </c>
      <c r="L10" s="16"/>
      <c r="M10" s="57" t="str">
        <f>"Oct"</f>
        <v>Oct</v>
      </c>
      <c r="N10" s="60">
        <f>'FY 2024-25 Data'!C12</f>
        <v>39.4</v>
      </c>
      <c r="O10" s="61">
        <f>'FY 2025-26 Data'!C12</f>
        <v>61.75</v>
      </c>
      <c r="P10" s="16"/>
    </row>
    <row r="11" spans="1:16" ht="18" customHeight="1" x14ac:dyDescent="0.25">
      <c r="A11" s="62" t="str">
        <f>"Nov"</f>
        <v>Nov</v>
      </c>
      <c r="B11" s="63">
        <f>'FY 2024-25 Data'!E13</f>
        <v>112</v>
      </c>
      <c r="C11" s="64">
        <f>'FY 2025-26 Data'!E13</f>
        <v>31</v>
      </c>
      <c r="D11" s="16"/>
      <c r="E11" s="62" t="str">
        <f>"Nov"</f>
        <v>Nov</v>
      </c>
      <c r="F11" s="65">
        <f>'FY 2024-25 Data'!G13</f>
        <v>103.3</v>
      </c>
      <c r="G11" s="66">
        <f>'FY 2025-26 Data'!G13</f>
        <v>33.799999999999997</v>
      </c>
      <c r="H11" s="16"/>
      <c r="I11" s="62" t="str">
        <f>"Nov"</f>
        <v>Nov</v>
      </c>
      <c r="J11" s="65">
        <f>IFERROR(IF('FY 2024-25 Data'!B13&gt;0,'FY 2024-25 Data'!B13,0),0)</f>
        <v>76.47</v>
      </c>
      <c r="K11" s="66">
        <f>IFERROR(IF('FY 2025-26 Data'!B13&gt;0,'FY 2025-26 Data'!B13,0),0)</f>
        <v>314.72000000000003</v>
      </c>
      <c r="L11" s="16"/>
      <c r="M11" s="62" t="str">
        <f>"Nov"</f>
        <v>Nov</v>
      </c>
      <c r="N11" s="65">
        <f>'FY 2024-25 Data'!C13</f>
        <v>54.2</v>
      </c>
      <c r="O11" s="66">
        <f>'FY 2025-26 Data'!C13</f>
        <v>63.5</v>
      </c>
      <c r="P11" s="16"/>
    </row>
    <row r="12" spans="1:16" ht="18" customHeight="1" x14ac:dyDescent="0.25">
      <c r="A12" s="57" t="str">
        <f>"Dec"</f>
        <v>Dec</v>
      </c>
      <c r="B12" s="58">
        <f>'FY 2024-25 Data'!E14</f>
        <v>166</v>
      </c>
      <c r="C12" s="59">
        <f>'FY 2025-26 Data'!E14</f>
        <v>23</v>
      </c>
      <c r="D12" s="16"/>
      <c r="E12" s="57" t="str">
        <f>"Dec"</f>
        <v>Dec</v>
      </c>
      <c r="F12" s="60">
        <f>'FY 2024-25 Data'!G14</f>
        <v>129.9</v>
      </c>
      <c r="G12" s="61">
        <f>'FY 2025-26 Data'!G14</f>
        <v>32</v>
      </c>
      <c r="H12" s="16"/>
      <c r="I12" s="57" t="str">
        <f>"Dec"</f>
        <v>Dec</v>
      </c>
      <c r="J12" s="60">
        <f>IFERROR(IF('FY 2024-25 Data'!B14&gt;0,'FY 2024-25 Data'!B14,0),0)</f>
        <v>55.33</v>
      </c>
      <c r="K12" s="61">
        <f>IFERROR(IF('FY 2025-26 Data'!B14&gt;0,'FY 2025-26 Data'!B14,0),0)</f>
        <v>0</v>
      </c>
      <c r="L12" s="16"/>
      <c r="M12" s="57" t="str">
        <f>"Dec"</f>
        <v>Dec</v>
      </c>
      <c r="N12" s="60">
        <f>'FY 2024-25 Data'!C14</f>
        <v>54.2</v>
      </c>
      <c r="O12" s="61">
        <f>'FY 2025-26 Data'!C14</f>
        <v>67.180000000000007</v>
      </c>
      <c r="P12" s="16"/>
    </row>
    <row r="13" spans="1:16" ht="18" customHeight="1" x14ac:dyDescent="0.25">
      <c r="A13" s="62" t="str">
        <f>"Jan"</f>
        <v>Jan</v>
      </c>
      <c r="B13" s="63">
        <f>'FY 2024-25 Data'!E15</f>
        <v>138</v>
      </c>
      <c r="C13" s="64">
        <f>'FY 2025-26 Data'!E15</f>
        <v>34</v>
      </c>
      <c r="D13" s="16"/>
      <c r="E13" s="62" t="str">
        <f>"Jan"</f>
        <v>Jan</v>
      </c>
      <c r="F13" s="65">
        <f>'FY 2024-25 Data'!G15</f>
        <v>128.30000000000001</v>
      </c>
      <c r="G13" s="66">
        <f>'FY 2025-26 Data'!G15</f>
        <v>40.299999999999997</v>
      </c>
      <c r="H13" s="16"/>
      <c r="I13" s="62" t="str">
        <f>"Jan"</f>
        <v>Jan</v>
      </c>
      <c r="J13" s="65">
        <f>IFERROR(IF('FY 2024-25 Data'!B15&gt;0,'FY 2024-25 Data'!B15,0),0)</f>
        <v>53.8</v>
      </c>
      <c r="K13" s="66">
        <f>IFERROR(IF('FY 2025-26 Data'!B15&gt;0,'FY 2025-26 Data'!B15,0),0)</f>
        <v>517.86</v>
      </c>
      <c r="L13" s="16"/>
      <c r="M13" s="62" t="str">
        <f>"Jan"</f>
        <v>Jan</v>
      </c>
      <c r="N13" s="65">
        <f>'FY 2024-25 Data'!C15</f>
        <v>56.8</v>
      </c>
      <c r="O13" s="66">
        <f>'FY 2025-26 Data'!C15</f>
        <v>56.33</v>
      </c>
      <c r="P13" s="16"/>
    </row>
    <row r="14" spans="1:16" ht="18" customHeight="1" x14ac:dyDescent="0.25">
      <c r="A14" s="57" t="str">
        <f>"Feb"</f>
        <v>Feb</v>
      </c>
      <c r="B14" s="58">
        <f>'FY 2024-25 Data'!E16</f>
        <v>80</v>
      </c>
      <c r="C14" s="59">
        <f>'FY 2025-26 Data'!E16</f>
        <v>27</v>
      </c>
      <c r="D14" s="16"/>
      <c r="E14" s="57" t="str">
        <f>"Feb"</f>
        <v>Feb</v>
      </c>
      <c r="F14" s="60">
        <f>'FY 2024-25 Data'!G16</f>
        <v>91.9</v>
      </c>
      <c r="G14" s="61">
        <f>'FY 2025-26 Data'!G16</f>
        <v>23</v>
      </c>
      <c r="H14" s="16"/>
      <c r="I14" s="57" t="str">
        <f>"Feb"</f>
        <v>Feb</v>
      </c>
      <c r="J14" s="60">
        <f>IFERROR(IF('FY 2024-25 Data'!B16&gt;0,'FY 2024-25 Data'!B16,0),0)</f>
        <v>122.97</v>
      </c>
      <c r="K14" s="61">
        <f>IFERROR(IF('FY 2025-26 Data'!B16&gt;0,'FY 2025-26 Data'!B16,0),0)</f>
        <v>505.39</v>
      </c>
      <c r="L14" s="16"/>
      <c r="M14" s="57" t="str">
        <f>"Feb"</f>
        <v>Feb</v>
      </c>
      <c r="N14" s="60">
        <f>'FY 2024-25 Data'!C16</f>
        <v>72</v>
      </c>
      <c r="O14" s="61">
        <f>'FY 2025-26 Data'!C16</f>
        <v>51.65</v>
      </c>
      <c r="P14" s="16"/>
    </row>
    <row r="15" spans="1:16" ht="18" customHeight="1" x14ac:dyDescent="0.25">
      <c r="A15" s="62" t="str">
        <f>"Mar"</f>
        <v>Mar</v>
      </c>
      <c r="B15" s="63">
        <f>'FY 2024-25 Data'!E17</f>
        <v>60</v>
      </c>
      <c r="C15" s="64">
        <f>'FY 2025-26 Data'!E17</f>
        <v>22</v>
      </c>
      <c r="D15" s="16"/>
      <c r="E15" s="62" t="str">
        <f>"Mar"</f>
        <v>Mar</v>
      </c>
      <c r="F15" s="65">
        <f>'FY 2024-25 Data'!G17</f>
        <v>279.10000000000002</v>
      </c>
      <c r="G15" s="66">
        <f>'FY 2025-26 Data'!G17</f>
        <v>18.2</v>
      </c>
      <c r="H15" s="16"/>
      <c r="I15" s="62" t="str">
        <f>"Mar"</f>
        <v>Mar</v>
      </c>
      <c r="J15" s="65">
        <f>IFERROR(IF('FY 2024-25 Data'!B17&gt;0,'FY 2024-25 Data'!B17,0),0)</f>
        <v>139.56</v>
      </c>
      <c r="K15" s="66">
        <f>IFERROR(IF('FY 2025-26 Data'!B17&gt;0,'FY 2025-26 Data'!B17,0),0)</f>
        <v>0</v>
      </c>
      <c r="L15" s="16"/>
      <c r="M15" s="62" t="str">
        <f>"Mar"</f>
        <v>Mar</v>
      </c>
      <c r="N15" s="65">
        <f>'FY 2024-25 Data'!C17</f>
        <v>49</v>
      </c>
      <c r="O15" s="66">
        <f>'FY 2025-26 Data'!C17</f>
        <v>82</v>
      </c>
      <c r="P15" s="16"/>
    </row>
    <row r="16" spans="1:16" ht="1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19.5" customHeight="1" x14ac:dyDescent="0.25">
      <c r="A17" s="109" t="s">
        <v>71</v>
      </c>
      <c r="B17" s="109"/>
      <c r="C17" s="109"/>
      <c r="D17" s="16"/>
      <c r="E17" s="109" t="s">
        <v>72</v>
      </c>
      <c r="F17" s="109"/>
      <c r="G17" s="109"/>
      <c r="H17" s="16"/>
      <c r="I17" s="109" t="s">
        <v>73</v>
      </c>
      <c r="J17" s="109"/>
      <c r="K17" s="109"/>
      <c r="L17" s="16"/>
      <c r="M17" s="109" t="s">
        <v>74</v>
      </c>
      <c r="N17" s="109"/>
      <c r="O17" s="109"/>
      <c r="P17" s="16"/>
    </row>
    <row r="18" spans="1:16" ht="18" customHeight="1" x14ac:dyDescent="0.25">
      <c r="A18" s="54" t="s">
        <v>70</v>
      </c>
      <c r="B18" s="55" t="s">
        <v>7</v>
      </c>
      <c r="C18" s="56" t="s">
        <v>8</v>
      </c>
      <c r="D18" s="16"/>
      <c r="E18" s="54" t="s">
        <v>70</v>
      </c>
      <c r="F18" s="55" t="s">
        <v>7</v>
      </c>
      <c r="G18" s="56" t="s">
        <v>8</v>
      </c>
      <c r="H18" s="16"/>
      <c r="I18" s="54" t="s">
        <v>70</v>
      </c>
      <c r="J18" s="55" t="s">
        <v>7</v>
      </c>
      <c r="K18" s="56" t="s">
        <v>8</v>
      </c>
      <c r="L18" s="16"/>
      <c r="M18" s="54" t="s">
        <v>70</v>
      </c>
      <c r="N18" s="55" t="s">
        <v>7</v>
      </c>
      <c r="O18" s="56" t="s">
        <v>8</v>
      </c>
      <c r="P18" s="16"/>
    </row>
    <row r="19" spans="1:16" ht="18" customHeight="1" x14ac:dyDescent="0.25">
      <c r="A19" s="62" t="str">
        <f>"Apr"</f>
        <v>Apr</v>
      </c>
      <c r="B19" s="67">
        <f>'FY 2024-25 Data'!F6*100</f>
        <v>97.99</v>
      </c>
      <c r="C19" s="68">
        <f>'FY 2025-26 Data'!F6*100</f>
        <v>98.22</v>
      </c>
      <c r="D19" s="16"/>
      <c r="E19" s="62" t="str">
        <f>"KBA-1"</f>
        <v>KBA-1</v>
      </c>
      <c r="F19" s="65">
        <f>'FY 2024-25 Data'!B22</f>
        <v>59.13</v>
      </c>
      <c r="G19" s="66">
        <f>'FY 2025-26 Data'!B22</f>
        <v>144.16</v>
      </c>
      <c r="H19" s="16"/>
      <c r="I19" s="62" t="str">
        <f>"KBA-1"</f>
        <v>KBA-1</v>
      </c>
      <c r="J19" s="63">
        <f>'FY 2024-25 Data'!E22</f>
        <v>374</v>
      </c>
      <c r="K19" s="64">
        <f>'FY 2025-26 Data'!E22</f>
        <v>164</v>
      </c>
      <c r="L19" s="16"/>
      <c r="M19" s="62" t="str">
        <f>"KBA-1"</f>
        <v>KBA-1</v>
      </c>
      <c r="N19" s="67">
        <f>'FY 2024-25 Data'!F22*100</f>
        <v>95.509999999999991</v>
      </c>
      <c r="O19" s="68">
        <f>'FY 2025-26 Data'!F22*100</f>
        <v>97.97</v>
      </c>
      <c r="P19" s="16"/>
    </row>
    <row r="20" spans="1:16" ht="18" customHeight="1" x14ac:dyDescent="0.25">
      <c r="A20" s="57" t="str">
        <f>"May"</f>
        <v>May</v>
      </c>
      <c r="B20" s="69">
        <f>'FY 2024-25 Data'!F7*100</f>
        <v>97.34</v>
      </c>
      <c r="C20" s="70">
        <f>'FY 2025-26 Data'!F7*100</f>
        <v>99.009999999999991</v>
      </c>
      <c r="D20" s="16"/>
      <c r="E20" s="57" t="str">
        <f>"KBA-2"</f>
        <v>KBA-2</v>
      </c>
      <c r="F20" s="60">
        <f>'FY 2024-25 Data'!B23</f>
        <v>49.96</v>
      </c>
      <c r="G20" s="61">
        <f>'FY 2025-26 Data'!B23</f>
        <v>185.62</v>
      </c>
      <c r="H20" s="16"/>
      <c r="I20" s="57" t="str">
        <f>"KBA-2"</f>
        <v>KBA-2</v>
      </c>
      <c r="J20" s="58">
        <f>'FY 2024-25 Data'!E23</f>
        <v>382</v>
      </c>
      <c r="K20" s="59">
        <f>'FY 2025-26 Data'!E23</f>
        <v>110</v>
      </c>
      <c r="L20" s="16"/>
      <c r="M20" s="57" t="str">
        <f>"KBA-2"</f>
        <v>KBA-2</v>
      </c>
      <c r="N20" s="69">
        <f>'FY 2024-25 Data'!F23*100</f>
        <v>96.25</v>
      </c>
      <c r="O20" s="70">
        <f>'FY 2025-26 Data'!F23*100</f>
        <v>98.28</v>
      </c>
      <c r="P20" s="16"/>
    </row>
    <row r="21" spans="1:16" ht="18" customHeight="1" x14ac:dyDescent="0.25">
      <c r="A21" s="62" t="str">
        <f>"Jun"</f>
        <v>Jun</v>
      </c>
      <c r="B21" s="67">
        <f>'FY 2024-25 Data'!F8*100</f>
        <v>96.740000000000009</v>
      </c>
      <c r="C21" s="68">
        <f>'FY 2025-26 Data'!F8*100</f>
        <v>97.789999999999992</v>
      </c>
      <c r="D21" s="16"/>
      <c r="E21" s="62" t="str">
        <f>"KBA-3"</f>
        <v>KBA-3</v>
      </c>
      <c r="F21" s="65">
        <f>'FY 2024-25 Data'!B24</f>
        <v>60.87</v>
      </c>
      <c r="G21" s="66">
        <f>'FY 2025-26 Data'!B24</f>
        <v>236.45</v>
      </c>
      <c r="H21" s="16"/>
      <c r="I21" s="62" t="str">
        <f>"KBA-3"</f>
        <v>KBA-3</v>
      </c>
      <c r="J21" s="63">
        <f>'FY 2024-25 Data'!E24</f>
        <v>310</v>
      </c>
      <c r="K21" s="64">
        <f>'FY 2025-26 Data'!E24</f>
        <v>92</v>
      </c>
      <c r="L21" s="16"/>
      <c r="M21" s="62" t="str">
        <f>"KBA-3"</f>
        <v>KBA-3</v>
      </c>
      <c r="N21" s="67">
        <f>'FY 2024-25 Data'!F24*100</f>
        <v>96.71</v>
      </c>
      <c r="O21" s="68">
        <f>'FY 2025-26 Data'!F24*100</f>
        <v>98.82</v>
      </c>
      <c r="P21" s="16"/>
    </row>
    <row r="22" spans="1:16" ht="18" customHeight="1" x14ac:dyDescent="0.25">
      <c r="A22" s="57" t="str">
        <f>"Jul"</f>
        <v>Jul</v>
      </c>
      <c r="B22" s="69">
        <f>'FY 2024-25 Data'!F9*100</f>
        <v>96.43</v>
      </c>
      <c r="C22" s="70">
        <f>'FY 2025-26 Data'!F9*100</f>
        <v>98.350000000000009</v>
      </c>
      <c r="D22" s="16"/>
      <c r="E22" s="57" t="str">
        <f>"CX-1"</f>
        <v>CX-1</v>
      </c>
      <c r="F22" s="60">
        <f>'FY 2024-25 Data'!B25</f>
        <v>135.29</v>
      </c>
      <c r="G22" s="61">
        <f>'FY 2025-26 Data'!B25</f>
        <v>511.5</v>
      </c>
      <c r="H22" s="16"/>
      <c r="I22" s="57" t="str">
        <f>"CX-1"</f>
        <v>CX-1</v>
      </c>
      <c r="J22" s="58">
        <f>'FY 2024-25 Data'!E25</f>
        <v>169</v>
      </c>
      <c r="K22" s="59">
        <f>'FY 2025-26 Data'!E25</f>
        <v>47</v>
      </c>
      <c r="L22" s="16"/>
      <c r="M22" s="57" t="str">
        <f>"CX-1"</f>
        <v>CX-1</v>
      </c>
      <c r="N22" s="69">
        <f>'FY 2024-25 Data'!F25*100</f>
        <v>96.72</v>
      </c>
      <c r="O22" s="70">
        <f>'FY 2025-26 Data'!F25*100</f>
        <v>99.539999999999992</v>
      </c>
      <c r="P22" s="16"/>
    </row>
    <row r="23" spans="1:16" ht="18" customHeight="1" x14ac:dyDescent="0.25">
      <c r="A23" s="62" t="str">
        <f>"Aug"</f>
        <v>Aug</v>
      </c>
      <c r="B23" s="67">
        <f>'FY 2024-25 Data'!F10*100</f>
        <v>97.77</v>
      </c>
      <c r="C23" s="68">
        <f>'FY 2025-26 Data'!F10*100</f>
        <v>99.33</v>
      </c>
      <c r="D23" s="16"/>
      <c r="E23" s="62" t="str">
        <f>"CX-2"</f>
        <v>CX-2</v>
      </c>
      <c r="F23" s="65">
        <f>'FY 2024-25 Data'!B26</f>
        <v>98.7</v>
      </c>
      <c r="G23" s="66">
        <f>'FY 2025-26 Data'!B26</f>
        <v>528.37</v>
      </c>
      <c r="H23" s="16"/>
      <c r="I23" s="62" t="str">
        <f>"CX-2"</f>
        <v>CX-2</v>
      </c>
      <c r="J23" s="63">
        <f>'FY 2024-25 Data'!E26</f>
        <v>187</v>
      </c>
      <c r="K23" s="64">
        <f>'FY 2025-26 Data'!E26</f>
        <v>50</v>
      </c>
      <c r="L23" s="16"/>
      <c r="M23" s="62" t="str">
        <f>"CX-2"</f>
        <v>CX-2</v>
      </c>
      <c r="N23" s="67">
        <f>'FY 2024-25 Data'!F26*100</f>
        <v>96.19</v>
      </c>
      <c r="O23" s="68">
        <f>'FY 2025-26 Data'!F26*100</f>
        <v>99.18</v>
      </c>
      <c r="P23" s="16"/>
    </row>
    <row r="24" spans="1:16" ht="18" customHeight="1" x14ac:dyDescent="0.25">
      <c r="A24" s="57" t="str">
        <f>"Sep"</f>
        <v>Sep</v>
      </c>
      <c r="B24" s="69">
        <f>'FY 2024-25 Data'!F11*100</f>
        <v>97.58</v>
      </c>
      <c r="C24" s="70">
        <f>'FY 2025-26 Data'!F11*100</f>
        <v>98.66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ht="18" customHeight="1" x14ac:dyDescent="0.25">
      <c r="A25" s="62" t="str">
        <f>"Oct"</f>
        <v>Oct</v>
      </c>
      <c r="B25" s="67">
        <f>'FY 2024-25 Data'!F12*100</f>
        <v>97.1</v>
      </c>
      <c r="C25" s="68">
        <f>'FY 2025-26 Data'!F12*100</f>
        <v>98.87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ht="18" customHeight="1" x14ac:dyDescent="0.25">
      <c r="A26" s="57" t="str">
        <f>"Nov"</f>
        <v>Nov</v>
      </c>
      <c r="B26" s="69">
        <f>'FY 2024-25 Data'!F13*100</f>
        <v>96.39</v>
      </c>
      <c r="C26" s="70">
        <f>'FY 2025-26 Data'!F13*100</f>
        <v>98.82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ht="18" customHeight="1" x14ac:dyDescent="0.25">
      <c r="A27" s="62" t="str">
        <f>"Dec"</f>
        <v>Dec</v>
      </c>
      <c r="B27" s="67">
        <f>'FY 2024-25 Data'!F14*100</f>
        <v>95.46</v>
      </c>
      <c r="C27" s="68">
        <f>'FY 2025-26 Data'!F14*100</f>
        <v>98.88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ht="18" customHeight="1" x14ac:dyDescent="0.25">
      <c r="A28" s="57" t="str">
        <f>"Jan"</f>
        <v>Jan</v>
      </c>
      <c r="B28" s="69">
        <f>'FY 2024-25 Data'!F15*100</f>
        <v>95.52000000000001</v>
      </c>
      <c r="C28" s="70">
        <f>'FY 2025-26 Data'!F15*100</f>
        <v>98.59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ht="18" customHeight="1" x14ac:dyDescent="0.25">
      <c r="A29" s="62" t="str">
        <f>"Feb"</f>
        <v>Feb</v>
      </c>
      <c r="B29" s="67">
        <f>'FY 2024-25 Data'!F16*100</f>
        <v>96.789999999999992</v>
      </c>
      <c r="C29" s="68">
        <f>'FY 2025-26 Data'!F16*100</f>
        <v>99.19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ht="18" customHeight="1" x14ac:dyDescent="0.25">
      <c r="A30" s="57" t="str">
        <f>"Mar"</f>
        <v>Mar</v>
      </c>
      <c r="B30" s="69">
        <f>'FY 2024-25 Data'!F17*100</f>
        <v>90.24</v>
      </c>
      <c r="C30" s="70">
        <f>'FY 2025-26 Data'!F17*100</f>
        <v>99.36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ht="1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ht="1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ht="1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ht="1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 ht="1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ht="1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 ht="1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ht="1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spans="1:16" ht="1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1:16" ht="1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spans="1:16" ht="1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1:16" ht="1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spans="1:16" ht="1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ht="1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spans="1:16" ht="1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1:16" ht="1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6" ht="1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1:16" ht="1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1:16" ht="1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ht="1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spans="1:16" ht="1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spans="1:16" ht="1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6" ht="1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ht="1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spans="1:16" ht="1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spans="1:16" ht="1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spans="1:16" ht="1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6" ht="1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1:16" ht="1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spans="1:16" ht="1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spans="1:16" ht="1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16" ht="1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16" ht="1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ht="1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ht="1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ht="1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ht="1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ht="1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ht="1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ht="1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ht="1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ht="1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ht="1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ht="1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ht="1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ht="1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ht="1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ht="1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</sheetData>
  <mergeCells count="9">
    <mergeCell ref="A17:C17"/>
    <mergeCell ref="E17:G17"/>
    <mergeCell ref="I17:K17"/>
    <mergeCell ref="M17:O17"/>
    <mergeCell ref="A1:P1"/>
    <mergeCell ref="A2:C2"/>
    <mergeCell ref="E2:G2"/>
    <mergeCell ref="I2:K2"/>
    <mergeCell ref="M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4A7A"/>
  </sheetPr>
  <dimension ref="A1:S34"/>
  <sheetViews>
    <sheetView showGridLines="0" zoomScaleNormal="100" workbookViewId="0">
      <selection activeCell="J8" sqref="J8"/>
    </sheetView>
  </sheetViews>
  <sheetFormatPr defaultColWidth="8.7109375" defaultRowHeight="15" x14ac:dyDescent="0.25"/>
  <cols>
    <col min="1" max="1" width="1" style="15" customWidth="1"/>
    <col min="2" max="2" width="12" style="15" customWidth="1"/>
    <col min="3" max="3" width="11" style="15" customWidth="1"/>
    <col min="4" max="7" width="10" style="15" customWidth="1"/>
    <col min="8" max="8" width="1" style="15" customWidth="1"/>
    <col min="9" max="9" width="12" style="15" customWidth="1"/>
    <col min="10" max="10" width="11" style="15" customWidth="1"/>
    <col min="11" max="14" width="10" style="15" customWidth="1"/>
    <col min="15" max="15" width="1" style="15" customWidth="1"/>
    <col min="16" max="18" width="10" style="15" customWidth="1"/>
    <col min="19" max="19" width="1" style="15" customWidth="1"/>
  </cols>
  <sheetData>
    <row r="1" spans="1:19" ht="7.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36" customHeight="1" x14ac:dyDescent="0.25">
      <c r="A2" s="16"/>
      <c r="B2" s="107" t="s">
        <v>75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6"/>
    </row>
    <row r="3" spans="1:19" ht="19.5" customHeight="1" x14ac:dyDescent="0.25">
      <c r="A3" s="16"/>
      <c r="B3" s="113" t="s">
        <v>76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6"/>
    </row>
    <row r="4" spans="1:19" ht="7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ht="19.5" customHeight="1" x14ac:dyDescent="0.25">
      <c r="A5" s="16"/>
      <c r="B5" s="16"/>
      <c r="C5" s="114" t="s">
        <v>77</v>
      </c>
      <c r="D5" s="114"/>
      <c r="E5" s="114"/>
      <c r="F5" s="114"/>
      <c r="G5" s="114"/>
      <c r="H5" s="16"/>
      <c r="I5" s="115" t="s">
        <v>78</v>
      </c>
      <c r="J5" s="115"/>
      <c r="K5" s="115"/>
      <c r="L5" s="115"/>
      <c r="M5" s="115"/>
      <c r="N5" s="115"/>
      <c r="O5" s="16"/>
      <c r="P5" s="116" t="s">
        <v>79</v>
      </c>
      <c r="Q5" s="116"/>
      <c r="R5" s="116"/>
      <c r="S5" s="16"/>
    </row>
    <row r="6" spans="1:19" ht="25.5" customHeight="1" x14ac:dyDescent="0.25">
      <c r="A6" s="16"/>
      <c r="B6" s="71" t="s">
        <v>22</v>
      </c>
      <c r="C6" s="71" t="s">
        <v>80</v>
      </c>
      <c r="D6" s="71" t="s">
        <v>81</v>
      </c>
      <c r="E6" s="71" t="s">
        <v>82</v>
      </c>
      <c r="F6" s="71" t="s">
        <v>83</v>
      </c>
      <c r="G6" s="71" t="s">
        <v>84</v>
      </c>
      <c r="H6" s="72"/>
      <c r="I6" s="73" t="s">
        <v>22</v>
      </c>
      <c r="J6" s="73" t="s">
        <v>80</v>
      </c>
      <c r="K6" s="73" t="s">
        <v>81</v>
      </c>
      <c r="L6" s="73" t="s">
        <v>82</v>
      </c>
      <c r="M6" s="73" t="s">
        <v>83</v>
      </c>
      <c r="N6" s="73" t="s">
        <v>84</v>
      </c>
      <c r="O6" s="72"/>
      <c r="P6" s="74" t="s">
        <v>85</v>
      </c>
      <c r="Q6" s="74" t="s">
        <v>86</v>
      </c>
      <c r="R6" s="74" t="s">
        <v>87</v>
      </c>
      <c r="S6" s="16"/>
    </row>
    <row r="7" spans="1:19" ht="19.5" customHeight="1" x14ac:dyDescent="0.25">
      <c r="A7" s="16"/>
      <c r="B7" s="75" t="str">
        <f>'FY 2024-25 Data'!A6</f>
        <v>Apr-24</v>
      </c>
      <c r="C7" s="67">
        <f>IFERROR(IF('FY 2024-25 Data'!B6&gt;0,'FY 2024-25 Data'!B6,"-"),"-")</f>
        <v>75.61</v>
      </c>
      <c r="D7" s="67">
        <f>'FY 2024-25 Data'!C6</f>
        <v>34.76</v>
      </c>
      <c r="E7" s="63">
        <f>'FY 2024-25 Data'!E6</f>
        <v>99</v>
      </c>
      <c r="F7" s="76">
        <f>'FY 2024-25 Data'!F6</f>
        <v>0.97989999999999999</v>
      </c>
      <c r="G7" s="65">
        <f>'FY 2024-25 Data'!G6</f>
        <v>57.4</v>
      </c>
      <c r="H7" s="77"/>
      <c r="I7" s="75" t="str">
        <f>'FY 2025-26 Data'!A6</f>
        <v>Apr-25</v>
      </c>
      <c r="J7" s="68">
        <f>IFERROR(IF('FY 2025-26 Data'!B6&gt;0,'FY 2025-26 Data'!B6,"-"),"-")</f>
        <v>175.53</v>
      </c>
      <c r="K7" s="68">
        <f>'FY 2025-26 Data'!C6</f>
        <v>39.57</v>
      </c>
      <c r="L7" s="64">
        <f>'FY 2025-26 Data'!E6</f>
        <v>73</v>
      </c>
      <c r="M7" s="78">
        <f>'FY 2025-26 Data'!F6</f>
        <v>0.98219999999999996</v>
      </c>
      <c r="N7" s="66">
        <f>'FY 2025-26 Data'!G6</f>
        <v>50.8</v>
      </c>
      <c r="O7" s="77"/>
      <c r="P7" s="79">
        <f>IFERROR(('FY 2025-26 Data'!E6-'FY 2024-25 Data'!E6)/'FY 2024-25 Data'!E6,"N/A")</f>
        <v>-0.26262626262626265</v>
      </c>
      <c r="Q7" s="79">
        <f>IFERROR(('FY 2025-26 Data'!G6-'FY 2024-25 Data'!G6)/'FY 2024-25 Data'!G6,"N/A")</f>
        <v>-0.11498257839721257</v>
      </c>
      <c r="R7" s="79">
        <f>IFERROR(('FY 2025-26 Data'!F6-'FY 2024-25 Data'!F6)/'FY 2024-25 Data'!F6,"N/A")</f>
        <v>2.3471782834982844E-3</v>
      </c>
      <c r="S7" s="16"/>
    </row>
    <row r="8" spans="1:19" ht="19.5" customHeight="1" x14ac:dyDescent="0.25">
      <c r="A8" s="16"/>
      <c r="B8" s="80" t="str">
        <f>'FY 2024-25 Data'!A7</f>
        <v>May-24</v>
      </c>
      <c r="C8" s="69">
        <f>IFERROR(IF('FY 2024-25 Data'!B7&gt;0,'FY 2024-25 Data'!B7,"-"),"-")</f>
        <v>87.39</v>
      </c>
      <c r="D8" s="69">
        <f>'FY 2024-25 Data'!C7</f>
        <v>79.400000000000006</v>
      </c>
      <c r="E8" s="58">
        <f>'FY 2024-25 Data'!E7</f>
        <v>101</v>
      </c>
      <c r="F8" s="81">
        <f>'FY 2024-25 Data'!F7</f>
        <v>0.97340000000000004</v>
      </c>
      <c r="G8" s="60">
        <f>'FY 2024-25 Data'!G7</f>
        <v>76.2</v>
      </c>
      <c r="H8" s="77"/>
      <c r="I8" s="80" t="str">
        <f>'FY 2025-26 Data'!A7</f>
        <v>May-25</v>
      </c>
      <c r="J8" s="70" t="str">
        <f>IFERROR(IF('FY 2025-26 Data'!B7&gt;0,'FY 2025-26 Data'!B7,"-"),"-")</f>
        <v>-</v>
      </c>
      <c r="K8" s="70">
        <f>'FY 2025-26 Data'!C7</f>
        <v>46.31</v>
      </c>
      <c r="L8" s="59">
        <f>'FY 2025-26 Data'!E7</f>
        <v>32</v>
      </c>
      <c r="M8" s="82">
        <f>'FY 2025-26 Data'!F7</f>
        <v>0.99009999999999998</v>
      </c>
      <c r="N8" s="61">
        <f>'FY 2025-26 Data'!G7</f>
        <v>28.2</v>
      </c>
      <c r="O8" s="77"/>
      <c r="P8" s="83">
        <f>IFERROR(('FY 2025-26 Data'!E7-'FY 2024-25 Data'!E7)/'FY 2024-25 Data'!E7,"N/A")</f>
        <v>-0.68316831683168322</v>
      </c>
      <c r="Q8" s="83">
        <f>IFERROR(('FY 2025-26 Data'!G7-'FY 2024-25 Data'!G7)/'FY 2024-25 Data'!G7,"N/A")</f>
        <v>-0.62992125984251968</v>
      </c>
      <c r="R8" s="83">
        <f>IFERROR(('FY 2025-26 Data'!F7-'FY 2024-25 Data'!F7)/'FY 2024-25 Data'!F7,"N/A")</f>
        <v>1.7156359153482573E-2</v>
      </c>
      <c r="S8" s="16"/>
    </row>
    <row r="9" spans="1:19" ht="19.5" customHeight="1" x14ac:dyDescent="0.25">
      <c r="A9" s="16"/>
      <c r="B9" s="75" t="str">
        <f>'FY 2024-25 Data'!A8</f>
        <v>Jun-24</v>
      </c>
      <c r="C9" s="67">
        <f>IFERROR(IF('FY 2024-25 Data'!B8&gt;0,'FY 2024-25 Data'!B8,"-"),"-")</f>
        <v>62.21</v>
      </c>
      <c r="D9" s="67">
        <f>'FY 2024-25 Data'!C8</f>
        <v>38.200000000000003</v>
      </c>
      <c r="E9" s="63">
        <f>'FY 2024-25 Data'!E8</f>
        <v>157</v>
      </c>
      <c r="F9" s="76">
        <f>'FY 2024-25 Data'!F8</f>
        <v>0.96740000000000004</v>
      </c>
      <c r="G9" s="65">
        <f>'FY 2024-25 Data'!G8</f>
        <v>93.4</v>
      </c>
      <c r="H9" s="77"/>
      <c r="I9" s="75" t="str">
        <f>'FY 2025-26 Data'!A8</f>
        <v>Jun-25</v>
      </c>
      <c r="J9" s="68">
        <f>IFERROR(IF('FY 2025-26 Data'!B8&gt;0,'FY 2025-26 Data'!B8,"-"),"-")</f>
        <v>164.78</v>
      </c>
      <c r="K9" s="68">
        <f>'FY 2025-26 Data'!C8</f>
        <v>63.45</v>
      </c>
      <c r="L9" s="64">
        <f>'FY 2025-26 Data'!E8</f>
        <v>59</v>
      </c>
      <c r="M9" s="78">
        <f>'FY 2025-26 Data'!F8</f>
        <v>0.97789999999999999</v>
      </c>
      <c r="N9" s="66">
        <f>'FY 2025-26 Data'!G8</f>
        <v>63.1</v>
      </c>
      <c r="O9" s="77"/>
      <c r="P9" s="79">
        <f>IFERROR(('FY 2025-26 Data'!E8-'FY 2024-25 Data'!E8)/'FY 2024-25 Data'!E8,"N/A")</f>
        <v>-0.62420382165605093</v>
      </c>
      <c r="Q9" s="79">
        <f>IFERROR(('FY 2025-26 Data'!G8-'FY 2024-25 Data'!G8)/'FY 2024-25 Data'!G8,"N/A")</f>
        <v>-0.32441113490364026</v>
      </c>
      <c r="R9" s="79">
        <f>IFERROR(('FY 2025-26 Data'!F8-'FY 2024-25 Data'!F8)/'FY 2024-25 Data'!F8,"N/A")</f>
        <v>1.0853835021707623E-2</v>
      </c>
      <c r="S9" s="16"/>
    </row>
    <row r="10" spans="1:19" ht="19.5" customHeight="1" x14ac:dyDescent="0.25">
      <c r="A10" s="16"/>
      <c r="B10" s="80" t="str">
        <f>'FY 2024-25 Data'!A9</f>
        <v>Jul-24</v>
      </c>
      <c r="C10" s="69">
        <f>IFERROR(IF('FY 2024-25 Data'!B9&gt;0,'FY 2024-25 Data'!B9,"-"),"-")</f>
        <v>55.67</v>
      </c>
      <c r="D10" s="69">
        <f>'FY 2024-25 Data'!C9</f>
        <v>41.2</v>
      </c>
      <c r="E10" s="58">
        <f>'FY 2024-25 Data'!E9</f>
        <v>161</v>
      </c>
      <c r="F10" s="81">
        <f>'FY 2024-25 Data'!F9</f>
        <v>0.96430000000000005</v>
      </c>
      <c r="G10" s="60">
        <f>'FY 2024-25 Data'!G9</f>
        <v>102</v>
      </c>
      <c r="H10" s="77"/>
      <c r="I10" s="80" t="str">
        <f>'FY 2025-26 Data'!A9</f>
        <v>Jul-25</v>
      </c>
      <c r="J10" s="70">
        <f>IFERROR(IF('FY 2025-26 Data'!B9&gt;0,'FY 2025-26 Data'!B9,"-"),"-")</f>
        <v>148.1</v>
      </c>
      <c r="K10" s="70">
        <f>'FY 2025-26 Data'!C9</f>
        <v>50.23</v>
      </c>
      <c r="L10" s="59">
        <f>'FY 2025-26 Data'!E9</f>
        <v>56</v>
      </c>
      <c r="M10" s="82">
        <f>'FY 2025-26 Data'!F9</f>
        <v>0.98350000000000004</v>
      </c>
      <c r="N10" s="61">
        <f>'FY 2025-26 Data'!G9</f>
        <v>47.2</v>
      </c>
      <c r="O10" s="77"/>
      <c r="P10" s="83">
        <f>IFERROR(('FY 2025-26 Data'!E9-'FY 2024-25 Data'!E9)/'FY 2024-25 Data'!E9,"N/A")</f>
        <v>-0.65217391304347827</v>
      </c>
      <c r="Q10" s="83">
        <f>IFERROR(('FY 2025-26 Data'!G9-'FY 2024-25 Data'!G9)/'FY 2024-25 Data'!G9,"N/A")</f>
        <v>-0.53725490196078429</v>
      </c>
      <c r="R10" s="83">
        <f>IFERROR(('FY 2025-26 Data'!F9-'FY 2024-25 Data'!F9)/'FY 2024-25 Data'!F9,"N/A")</f>
        <v>1.9910816136057236E-2</v>
      </c>
      <c r="S10" s="16"/>
    </row>
    <row r="11" spans="1:19" ht="19.5" customHeight="1" x14ac:dyDescent="0.25">
      <c r="A11" s="16"/>
      <c r="B11" s="75" t="str">
        <f>'FY 2024-25 Data'!A10</f>
        <v>Aug-24</v>
      </c>
      <c r="C11" s="67">
        <f>IFERROR(IF('FY 2024-25 Data'!B10&gt;0,'FY 2024-25 Data'!B10,"-"),"-")</f>
        <v>78.03</v>
      </c>
      <c r="D11" s="67">
        <f>'FY 2024-25 Data'!C10</f>
        <v>29.8</v>
      </c>
      <c r="E11" s="63">
        <f>'FY 2024-25 Data'!E10</f>
        <v>123</v>
      </c>
      <c r="F11" s="76">
        <f>'FY 2024-25 Data'!F10</f>
        <v>0.97770000000000001</v>
      </c>
      <c r="G11" s="65">
        <f>'FY 2024-25 Data'!G10</f>
        <v>63.8</v>
      </c>
      <c r="H11" s="77"/>
      <c r="I11" s="75" t="str">
        <f>'FY 2025-26 Data'!A10</f>
        <v>Aug-25</v>
      </c>
      <c r="J11" s="68" t="str">
        <f>IFERROR(IF('FY 2025-26 Data'!B10&gt;0,'FY 2025-26 Data'!B10,"-"),"-")</f>
        <v>-</v>
      </c>
      <c r="K11" s="68">
        <f>'FY 2025-26 Data'!C10</f>
        <v>36.11</v>
      </c>
      <c r="L11" s="64">
        <f>'FY 2025-26 Data'!E10</f>
        <v>24</v>
      </c>
      <c r="M11" s="78">
        <f>'FY 2025-26 Data'!F10</f>
        <v>0.99329999999999996</v>
      </c>
      <c r="N11" s="66">
        <f>'FY 2025-26 Data'!G10</f>
        <v>19.2</v>
      </c>
      <c r="O11" s="77"/>
      <c r="P11" s="79">
        <f>IFERROR(('FY 2025-26 Data'!E10-'FY 2024-25 Data'!E10)/'FY 2024-25 Data'!E10,"N/A")</f>
        <v>-0.80487804878048785</v>
      </c>
      <c r="Q11" s="79">
        <f>IFERROR(('FY 2025-26 Data'!G10-'FY 2024-25 Data'!G10)/'FY 2024-25 Data'!G10,"N/A")</f>
        <v>-0.69905956112852663</v>
      </c>
      <c r="R11" s="79">
        <f>IFERROR(('FY 2025-26 Data'!F10-'FY 2024-25 Data'!F10)/'FY 2024-25 Data'!F10,"N/A")</f>
        <v>1.5955814667075737E-2</v>
      </c>
      <c r="S11" s="16"/>
    </row>
    <row r="12" spans="1:19" ht="19.5" customHeight="1" x14ac:dyDescent="0.25">
      <c r="A12" s="16"/>
      <c r="B12" s="80" t="str">
        <f>'FY 2024-25 Data'!A11</f>
        <v>Sep-24</v>
      </c>
      <c r="C12" s="69">
        <f>IFERROR(IF('FY 2024-25 Data'!B11&gt;0,'FY 2024-25 Data'!B11,"-"),"-")</f>
        <v>82.29</v>
      </c>
      <c r="D12" s="69">
        <f>'FY 2024-25 Data'!C11</f>
        <v>38</v>
      </c>
      <c r="E12" s="58">
        <f>'FY 2024-25 Data'!E11</f>
        <v>106</v>
      </c>
      <c r="F12" s="81">
        <f>'FY 2024-25 Data'!F11</f>
        <v>0.9758</v>
      </c>
      <c r="G12" s="60">
        <f>'FY 2024-25 Data'!G11</f>
        <v>69.2</v>
      </c>
      <c r="H12" s="77"/>
      <c r="I12" s="80" t="str">
        <f>'FY 2025-26 Data'!A11</f>
        <v>Sep-25</v>
      </c>
      <c r="J12" s="70">
        <f>IFERROR(IF('FY 2025-26 Data'!B11&gt;0,'FY 2025-26 Data'!B11,"-"),"-")</f>
        <v>163.6</v>
      </c>
      <c r="K12" s="70">
        <f>'FY 2025-26 Data'!C11</f>
        <v>47.03</v>
      </c>
      <c r="L12" s="59">
        <f>'FY 2025-26 Data'!E11</f>
        <v>49</v>
      </c>
      <c r="M12" s="82">
        <f>'FY 2025-26 Data'!F11</f>
        <v>0.98660000000000003</v>
      </c>
      <c r="N12" s="61">
        <f>'FY 2025-26 Data'!G11</f>
        <v>38.200000000000003</v>
      </c>
      <c r="O12" s="77"/>
      <c r="P12" s="83">
        <f>IFERROR(('FY 2025-26 Data'!E11-'FY 2024-25 Data'!E11)/'FY 2024-25 Data'!E11,"N/A")</f>
        <v>-0.53773584905660377</v>
      </c>
      <c r="Q12" s="83">
        <f>IFERROR(('FY 2025-26 Data'!G11-'FY 2024-25 Data'!G11)/'FY 2024-25 Data'!G11,"N/A")</f>
        <v>-0.44797687861271673</v>
      </c>
      <c r="R12" s="83">
        <f>IFERROR(('FY 2025-26 Data'!F11-'FY 2024-25 Data'!F11)/'FY 2024-25 Data'!F11,"N/A")</f>
        <v>1.1067841770854715E-2</v>
      </c>
      <c r="S12" s="16"/>
    </row>
    <row r="13" spans="1:19" ht="19.5" customHeight="1" x14ac:dyDescent="0.25">
      <c r="A13" s="16"/>
      <c r="B13" s="75" t="str">
        <f>'FY 2024-25 Data'!A12</f>
        <v>Oct-24</v>
      </c>
      <c r="C13" s="67">
        <f>IFERROR(IF('FY 2024-25 Data'!B12&gt;0,'FY 2024-25 Data'!B12,"-"),"-")</f>
        <v>80.14</v>
      </c>
      <c r="D13" s="67">
        <f>'FY 2024-25 Data'!C12</f>
        <v>39.4</v>
      </c>
      <c r="E13" s="63">
        <f>'FY 2024-25 Data'!E12</f>
        <v>119</v>
      </c>
      <c r="F13" s="76">
        <f>'FY 2024-25 Data'!F12</f>
        <v>0.97099999999999997</v>
      </c>
      <c r="G13" s="65">
        <f>'FY 2024-25 Data'!G12</f>
        <v>82.9</v>
      </c>
      <c r="H13" s="77"/>
      <c r="I13" s="75" t="str">
        <f>'FY 2025-26 Data'!A12</f>
        <v>Oct-25</v>
      </c>
      <c r="J13" s="68">
        <f>IFERROR(IF('FY 2025-26 Data'!B12&gt;0,'FY 2025-26 Data'!B12,"-"),"-")</f>
        <v>546.98</v>
      </c>
      <c r="K13" s="68">
        <f>'FY 2025-26 Data'!C12</f>
        <v>61.75</v>
      </c>
      <c r="L13" s="64">
        <f>'FY 2025-26 Data'!E12</f>
        <v>33</v>
      </c>
      <c r="M13" s="78">
        <f>'FY 2025-26 Data'!F12</f>
        <v>0.98870000000000002</v>
      </c>
      <c r="N13" s="66">
        <f>'FY 2025-26 Data'!G12</f>
        <v>32.200000000000003</v>
      </c>
      <c r="O13" s="77"/>
      <c r="P13" s="79">
        <f>IFERROR(('FY 2025-26 Data'!E12-'FY 2024-25 Data'!E12)/'FY 2024-25 Data'!E12,"N/A")</f>
        <v>-0.72268907563025209</v>
      </c>
      <c r="Q13" s="79">
        <f>IFERROR(('FY 2025-26 Data'!G12-'FY 2024-25 Data'!G12)/'FY 2024-25 Data'!G12,"N/A")</f>
        <v>-0.61158021712907118</v>
      </c>
      <c r="R13" s="79">
        <f>IFERROR(('FY 2025-26 Data'!F12-'FY 2024-25 Data'!F12)/'FY 2024-25 Data'!F12,"N/A")</f>
        <v>1.8228630278063904E-2</v>
      </c>
      <c r="S13" s="16"/>
    </row>
    <row r="14" spans="1:19" ht="19.5" customHeight="1" x14ac:dyDescent="0.25">
      <c r="A14" s="16"/>
      <c r="B14" s="80" t="str">
        <f>'FY 2024-25 Data'!A13</f>
        <v>Nov-24</v>
      </c>
      <c r="C14" s="69">
        <f>IFERROR(IF('FY 2024-25 Data'!B13&gt;0,'FY 2024-25 Data'!B13,"-"),"-")</f>
        <v>76.47</v>
      </c>
      <c r="D14" s="69">
        <f>'FY 2024-25 Data'!C13</f>
        <v>54.2</v>
      </c>
      <c r="E14" s="58">
        <f>'FY 2024-25 Data'!E13</f>
        <v>112</v>
      </c>
      <c r="F14" s="81">
        <f>'FY 2024-25 Data'!F13</f>
        <v>0.96389999999999998</v>
      </c>
      <c r="G14" s="60">
        <f>'FY 2024-25 Data'!G13</f>
        <v>103.3</v>
      </c>
      <c r="H14" s="77"/>
      <c r="I14" s="80" t="str">
        <f>'FY 2025-26 Data'!A13</f>
        <v>Nov-25</v>
      </c>
      <c r="J14" s="70">
        <f>IFERROR(IF('FY 2025-26 Data'!B13&gt;0,'FY 2025-26 Data'!B13,"-"),"-")</f>
        <v>314.72000000000003</v>
      </c>
      <c r="K14" s="70">
        <f>'FY 2025-26 Data'!C13</f>
        <v>63.5</v>
      </c>
      <c r="L14" s="59">
        <f>'FY 2025-26 Data'!E13</f>
        <v>31</v>
      </c>
      <c r="M14" s="82">
        <f>'FY 2025-26 Data'!F13</f>
        <v>0.98819999999999997</v>
      </c>
      <c r="N14" s="61">
        <f>'FY 2025-26 Data'!G13</f>
        <v>33.799999999999997</v>
      </c>
      <c r="O14" s="77"/>
      <c r="P14" s="83">
        <f>IFERROR(('FY 2025-26 Data'!E13-'FY 2024-25 Data'!E13)/'FY 2024-25 Data'!E13,"N/A")</f>
        <v>-0.7232142857142857</v>
      </c>
      <c r="Q14" s="83">
        <f>IFERROR(('FY 2025-26 Data'!G13-'FY 2024-25 Data'!G13)/'FY 2024-25 Data'!G13,"N/A")</f>
        <v>-0.67279767666989354</v>
      </c>
      <c r="R14" s="83">
        <f>IFERROR(('FY 2025-26 Data'!F13-'FY 2024-25 Data'!F13)/'FY 2024-25 Data'!F13,"N/A")</f>
        <v>2.5210084033613432E-2</v>
      </c>
      <c r="S14" s="16"/>
    </row>
    <row r="15" spans="1:19" ht="19.5" customHeight="1" x14ac:dyDescent="0.25">
      <c r="A15" s="16"/>
      <c r="B15" s="75" t="str">
        <f>'FY 2024-25 Data'!A14</f>
        <v>Dec-24</v>
      </c>
      <c r="C15" s="67">
        <f>IFERROR(IF('FY 2024-25 Data'!B14&gt;0,'FY 2024-25 Data'!B14,"-"),"-")</f>
        <v>55.33</v>
      </c>
      <c r="D15" s="67">
        <f>'FY 2024-25 Data'!C14</f>
        <v>54.2</v>
      </c>
      <c r="E15" s="63">
        <f>'FY 2024-25 Data'!E14</f>
        <v>166</v>
      </c>
      <c r="F15" s="76">
        <f>'FY 2024-25 Data'!F14</f>
        <v>0.9546</v>
      </c>
      <c r="G15" s="65">
        <f>'FY 2024-25 Data'!G14</f>
        <v>129.9</v>
      </c>
      <c r="H15" s="77"/>
      <c r="I15" s="75" t="str">
        <f>'FY 2025-26 Data'!A14</f>
        <v>Dec-25</v>
      </c>
      <c r="J15" s="68" t="str">
        <f>IFERROR(IF('FY 2025-26 Data'!B14&gt;0,'FY 2025-26 Data'!B14,"-"),"-")</f>
        <v>-</v>
      </c>
      <c r="K15" s="68">
        <f>'FY 2025-26 Data'!C14</f>
        <v>67.180000000000007</v>
      </c>
      <c r="L15" s="64">
        <f>'FY 2025-26 Data'!E14</f>
        <v>23</v>
      </c>
      <c r="M15" s="78">
        <f>'FY 2025-26 Data'!F14</f>
        <v>0.98880000000000001</v>
      </c>
      <c r="N15" s="66">
        <f>'FY 2025-26 Data'!G14</f>
        <v>32</v>
      </c>
      <c r="O15" s="77"/>
      <c r="P15" s="79">
        <f>IFERROR(('FY 2025-26 Data'!E14-'FY 2024-25 Data'!E14)/'FY 2024-25 Data'!E14,"N/A")</f>
        <v>-0.86144578313253017</v>
      </c>
      <c r="Q15" s="79">
        <f>IFERROR(('FY 2025-26 Data'!G14-'FY 2024-25 Data'!G14)/'FY 2024-25 Data'!G14,"N/A")</f>
        <v>-0.75365665896843725</v>
      </c>
      <c r="R15" s="79">
        <f>IFERROR(('FY 2025-26 Data'!F14-'FY 2024-25 Data'!F14)/'FY 2024-25 Data'!F14,"N/A")</f>
        <v>3.5826524198617232E-2</v>
      </c>
      <c r="S15" s="16"/>
    </row>
    <row r="16" spans="1:19" ht="19.5" customHeight="1" x14ac:dyDescent="0.25">
      <c r="A16" s="16"/>
      <c r="B16" s="80" t="str">
        <f>'FY 2024-25 Data'!A15</f>
        <v>Jan-25</v>
      </c>
      <c r="C16" s="69">
        <f>IFERROR(IF('FY 2024-25 Data'!B15&gt;0,'FY 2024-25 Data'!B15,"-"),"-")</f>
        <v>53.8</v>
      </c>
      <c r="D16" s="69">
        <f>'FY 2024-25 Data'!C15</f>
        <v>56.8</v>
      </c>
      <c r="E16" s="58">
        <f>'FY 2024-25 Data'!E15</f>
        <v>138</v>
      </c>
      <c r="F16" s="81">
        <f>'FY 2024-25 Data'!F15</f>
        <v>0.95520000000000005</v>
      </c>
      <c r="G16" s="60">
        <f>'FY 2024-25 Data'!G15</f>
        <v>128.30000000000001</v>
      </c>
      <c r="H16" s="77"/>
      <c r="I16" s="80" t="str">
        <f>'FY 2025-26 Data'!A15</f>
        <v>Jan-26</v>
      </c>
      <c r="J16" s="70">
        <f>IFERROR(IF('FY 2025-26 Data'!B15&gt;0,'FY 2025-26 Data'!B15,"-"),"-")</f>
        <v>517.86</v>
      </c>
      <c r="K16" s="70">
        <f>'FY 2025-26 Data'!C15</f>
        <v>56.33</v>
      </c>
      <c r="L16" s="59">
        <f>'FY 2025-26 Data'!E15</f>
        <v>34</v>
      </c>
      <c r="M16" s="82">
        <f>'FY 2025-26 Data'!F15</f>
        <v>0.9859</v>
      </c>
      <c r="N16" s="61">
        <f>'FY 2025-26 Data'!G15</f>
        <v>40.299999999999997</v>
      </c>
      <c r="O16" s="77"/>
      <c r="P16" s="83">
        <f>IFERROR(('FY 2025-26 Data'!E15-'FY 2024-25 Data'!E15)/'FY 2024-25 Data'!E15,"N/A")</f>
        <v>-0.75362318840579712</v>
      </c>
      <c r="Q16" s="83">
        <f>IFERROR(('FY 2025-26 Data'!G15-'FY 2024-25 Data'!G15)/'FY 2024-25 Data'!G15,"N/A")</f>
        <v>-0.68589243959469992</v>
      </c>
      <c r="R16" s="83">
        <f>IFERROR(('FY 2025-26 Data'!F15-'FY 2024-25 Data'!F15)/'FY 2024-25 Data'!F15,"N/A")</f>
        <v>3.2139865996649863E-2</v>
      </c>
      <c r="S16" s="16"/>
    </row>
    <row r="17" spans="1:19" ht="19.5" customHeight="1" x14ac:dyDescent="0.25">
      <c r="A17" s="16"/>
      <c r="B17" s="75" t="str">
        <f>'FY 2024-25 Data'!A16</f>
        <v>Feb-25</v>
      </c>
      <c r="C17" s="67">
        <f>IFERROR(IF('FY 2024-25 Data'!B16&gt;0,'FY 2024-25 Data'!B16,"-"),"-")</f>
        <v>122.97</v>
      </c>
      <c r="D17" s="67">
        <f>'FY 2024-25 Data'!C16</f>
        <v>72</v>
      </c>
      <c r="E17" s="63">
        <f>'FY 2024-25 Data'!E16</f>
        <v>80</v>
      </c>
      <c r="F17" s="76">
        <f>'FY 2024-25 Data'!F16</f>
        <v>0.96789999999999998</v>
      </c>
      <c r="G17" s="65">
        <f>'FY 2024-25 Data'!G16</f>
        <v>91.9</v>
      </c>
      <c r="H17" s="77"/>
      <c r="I17" s="75" t="str">
        <f>'FY 2025-26 Data'!A16</f>
        <v>Feb-26</v>
      </c>
      <c r="J17" s="68">
        <f>IFERROR(IF('FY 2025-26 Data'!B16&gt;0,'FY 2025-26 Data'!B16,"-"),"-")</f>
        <v>505.39</v>
      </c>
      <c r="K17" s="68">
        <f>'FY 2025-26 Data'!C16</f>
        <v>51.65</v>
      </c>
      <c r="L17" s="64">
        <f>'FY 2025-26 Data'!E16</f>
        <v>27</v>
      </c>
      <c r="M17" s="78">
        <f>'FY 2025-26 Data'!F16</f>
        <v>0.9919</v>
      </c>
      <c r="N17" s="66">
        <f>'FY 2025-26 Data'!G16</f>
        <v>23</v>
      </c>
      <c r="O17" s="77"/>
      <c r="P17" s="79">
        <f>IFERROR(('FY 2025-26 Data'!E16-'FY 2024-25 Data'!E16)/'FY 2024-25 Data'!E16,"N/A")</f>
        <v>-0.66249999999999998</v>
      </c>
      <c r="Q17" s="79">
        <f>IFERROR(('FY 2025-26 Data'!G16-'FY 2024-25 Data'!G16)/'FY 2024-25 Data'!G16,"N/A")</f>
        <v>-0.74972796517954299</v>
      </c>
      <c r="R17" s="79">
        <f>IFERROR(('FY 2025-26 Data'!F16-'FY 2024-25 Data'!F16)/'FY 2024-25 Data'!F16,"N/A")</f>
        <v>2.4795949994834199E-2</v>
      </c>
      <c r="S17" s="16"/>
    </row>
    <row r="18" spans="1:19" ht="19.5" customHeight="1" x14ac:dyDescent="0.25">
      <c r="A18" s="16"/>
      <c r="B18" s="80" t="str">
        <f>'FY 2024-25 Data'!A17</f>
        <v>Mar-25</v>
      </c>
      <c r="C18" s="69">
        <f>IFERROR(IF('FY 2024-25 Data'!B17&gt;0,'FY 2024-25 Data'!B17,"-"),"-")</f>
        <v>139.56</v>
      </c>
      <c r="D18" s="69">
        <f>'FY 2024-25 Data'!C17</f>
        <v>49</v>
      </c>
      <c r="E18" s="58">
        <f>'FY 2024-25 Data'!E17</f>
        <v>60</v>
      </c>
      <c r="F18" s="81">
        <f>'FY 2024-25 Data'!F17</f>
        <v>0.90239999999999998</v>
      </c>
      <c r="G18" s="60">
        <f>'FY 2024-25 Data'!G17</f>
        <v>279.10000000000002</v>
      </c>
      <c r="H18" s="77"/>
      <c r="I18" s="80" t="str">
        <f>'FY 2025-26 Data'!A17</f>
        <v>Mar-26</v>
      </c>
      <c r="J18" s="70" t="str">
        <f>IFERROR(IF('FY 2025-26 Data'!B17&gt;0,'FY 2025-26 Data'!B17,"-"),"-")</f>
        <v>-</v>
      </c>
      <c r="K18" s="70">
        <f>'FY 2025-26 Data'!C17</f>
        <v>82</v>
      </c>
      <c r="L18" s="59">
        <f>'FY 2025-26 Data'!E17</f>
        <v>22</v>
      </c>
      <c r="M18" s="82">
        <f>'FY 2025-26 Data'!F17</f>
        <v>0.99360000000000004</v>
      </c>
      <c r="N18" s="61">
        <f>'FY 2025-26 Data'!G17</f>
        <v>18.2</v>
      </c>
      <c r="O18" s="77"/>
      <c r="P18" s="83">
        <f>IFERROR(('FY 2025-26 Data'!E17-'FY 2024-25 Data'!E17)/'FY 2024-25 Data'!E17,"N/A")</f>
        <v>-0.6333333333333333</v>
      </c>
      <c r="Q18" s="83">
        <f>IFERROR(('FY 2025-26 Data'!G17-'FY 2024-25 Data'!G17)/'FY 2024-25 Data'!G17,"N/A")</f>
        <v>-0.93479039770691508</v>
      </c>
      <c r="R18" s="83">
        <f>IFERROR(('FY 2025-26 Data'!F17-'FY 2024-25 Data'!F17)/'FY 2024-25 Data'!F17,"N/A")</f>
        <v>0.10106382978723411</v>
      </c>
      <c r="S18" s="16"/>
    </row>
    <row r="19" spans="1:19" ht="21.75" customHeight="1" x14ac:dyDescent="0.25">
      <c r="A19" s="16"/>
      <c r="B19" s="84" t="str">
        <f>'FY 2024-25 Data'!A18</f>
        <v>TOTAL / AVG</v>
      </c>
      <c r="C19" s="85">
        <f>'FY 2024-25 Data'!B18</f>
        <v>80.789166666666674</v>
      </c>
      <c r="D19" s="85">
        <f>'FY 2024-25 Data'!C18</f>
        <v>48.913333333333334</v>
      </c>
      <c r="E19" s="86">
        <f>'FY 2024-25 Data'!E18</f>
        <v>1422</v>
      </c>
      <c r="F19" s="87">
        <f>'FY 2024-25 Data'!F18</f>
        <v>0.9627916666666666</v>
      </c>
      <c r="G19" s="88">
        <f>'FY 2024-25 Data'!G18</f>
        <v>1277.3999999999999</v>
      </c>
      <c r="H19" s="77"/>
      <c r="I19" s="84" t="str">
        <f>'FY 2025-26 Data'!A18</f>
        <v>TOTAL / AVG</v>
      </c>
      <c r="J19" s="89">
        <f>'FY 2025-26 Data'!B18</f>
        <v>317.12</v>
      </c>
      <c r="K19" s="89">
        <f>'FY 2025-26 Data'!C18</f>
        <v>55.425833333333323</v>
      </c>
      <c r="L19" s="90">
        <f>'FY 2025-26 Data'!E18</f>
        <v>463</v>
      </c>
      <c r="M19" s="91">
        <f>'FY 2025-26 Data'!F18</f>
        <v>0.9875583333333332</v>
      </c>
      <c r="N19" s="92">
        <f>'FY 2025-26 Data'!G18</f>
        <v>426.2</v>
      </c>
      <c r="O19" s="77"/>
      <c r="P19" s="93">
        <f>IFERROR(('FY 2025-26 Data'!E18-'FY 2024-25 Data'!E18)/'FY 2024-25 Data'!E18,"N/A")</f>
        <v>-0.67440225035161749</v>
      </c>
      <c r="Q19" s="93">
        <f>IFERROR(('FY 2025-26 Data'!G18-'FY 2024-25 Data'!G18)/'FY 2024-25 Data'!G18,"N/A")</f>
        <v>-0.66635353060904956</v>
      </c>
      <c r="R19" s="93">
        <f>IFERROR(('FY 2025-26 Data'!F18-'FY 2024-25 Data'!F18)/'FY 2024-25 Data'!F18,"N/A")</f>
        <v>2.5723806638680857E-2</v>
      </c>
      <c r="S19" s="16"/>
    </row>
    <row r="20" spans="1:19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ht="1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ht="1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ht="1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ht="1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ht="1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ht="1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ht="1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ht="1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ht="1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1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ht="1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</sheetData>
  <mergeCells count="5">
    <mergeCell ref="B2:R2"/>
    <mergeCell ref="B3:R3"/>
    <mergeCell ref="C5:G5"/>
    <mergeCell ref="I5:N5"/>
    <mergeCell ref="P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400"/>
  </sheetPr>
  <dimension ref="A1:T34"/>
  <sheetViews>
    <sheetView showGridLines="0" zoomScaleNormal="100" workbookViewId="0"/>
  </sheetViews>
  <sheetFormatPr defaultColWidth="8.7109375" defaultRowHeight="15" x14ac:dyDescent="0.25"/>
  <cols>
    <col min="1" max="1" width="1" style="15" customWidth="1"/>
    <col min="2" max="2" width="13" style="15" customWidth="1"/>
    <col min="3" max="4" width="11" style="15" customWidth="1"/>
    <col min="5" max="5" width="1" style="15" customWidth="1"/>
    <col min="6" max="7" width="11" style="15" customWidth="1"/>
    <col min="8" max="8" width="1" style="15" customWidth="1"/>
    <col min="9" max="10" width="11" style="15" customWidth="1"/>
    <col min="11" max="11" width="1" style="15" customWidth="1"/>
    <col min="12" max="13" width="11" style="15" customWidth="1"/>
    <col min="14" max="14" width="1" style="15" customWidth="1"/>
    <col min="15" max="16" width="11" style="15" customWidth="1"/>
    <col min="17" max="17" width="1" style="15" customWidth="1"/>
    <col min="18" max="19" width="11" style="15" customWidth="1"/>
    <col min="20" max="20" width="1" style="15" customWidth="1"/>
  </cols>
  <sheetData>
    <row r="1" spans="1:20" ht="7.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6" customHeight="1" x14ac:dyDescent="0.25">
      <c r="A2" s="16"/>
      <c r="B2" s="117" t="s">
        <v>88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9.5" customHeight="1" x14ac:dyDescent="0.25">
      <c r="A3" s="16"/>
      <c r="B3" s="113" t="s">
        <v>89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ht="7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9.5" customHeight="1" x14ac:dyDescent="0.25">
      <c r="A5" s="16"/>
      <c r="B5" s="16"/>
      <c r="C5" s="118" t="s">
        <v>90</v>
      </c>
      <c r="D5" s="118"/>
      <c r="E5" s="16"/>
      <c r="F5" s="119" t="s">
        <v>91</v>
      </c>
      <c r="G5" s="119"/>
      <c r="H5" s="16"/>
      <c r="I5" s="118" t="s">
        <v>92</v>
      </c>
      <c r="J5" s="118"/>
      <c r="K5" s="16"/>
      <c r="L5" s="119" t="s">
        <v>93</v>
      </c>
      <c r="M5" s="119"/>
      <c r="N5" s="16"/>
      <c r="O5" s="118" t="s">
        <v>94</v>
      </c>
      <c r="P5" s="118"/>
      <c r="Q5" s="16"/>
      <c r="R5" s="120" t="s">
        <v>95</v>
      </c>
      <c r="S5" s="120"/>
      <c r="T5" s="16"/>
    </row>
    <row r="6" spans="1:20" ht="19.5" customHeight="1" x14ac:dyDescent="0.25">
      <c r="A6" s="16"/>
      <c r="B6" s="94" t="s">
        <v>43</v>
      </c>
      <c r="C6" s="95" t="s">
        <v>7</v>
      </c>
      <c r="D6" s="96" t="s">
        <v>8</v>
      </c>
      <c r="E6" s="97"/>
      <c r="F6" s="95" t="s">
        <v>7</v>
      </c>
      <c r="G6" s="96" t="s">
        <v>8</v>
      </c>
      <c r="H6" s="97"/>
      <c r="I6" s="95" t="s">
        <v>7</v>
      </c>
      <c r="J6" s="96" t="s">
        <v>8</v>
      </c>
      <c r="K6" s="97"/>
      <c r="L6" s="95" t="s">
        <v>7</v>
      </c>
      <c r="M6" s="96" t="s">
        <v>8</v>
      </c>
      <c r="N6" s="97"/>
      <c r="O6" s="95" t="s">
        <v>7</v>
      </c>
      <c r="P6" s="96" t="s">
        <v>8</v>
      </c>
      <c r="Q6" s="97"/>
      <c r="R6" s="98" t="s">
        <v>96</v>
      </c>
      <c r="S6" s="98" t="s">
        <v>97</v>
      </c>
      <c r="T6" s="16"/>
    </row>
    <row r="7" spans="1:20" ht="21.75" customHeight="1" x14ac:dyDescent="0.25">
      <c r="A7" s="16"/>
      <c r="B7" s="26" t="str">
        <f>'FY 2024-25 Data'!A22</f>
        <v>KBA-1</v>
      </c>
      <c r="C7" s="30">
        <f>'FY 2024-25 Data'!B22</f>
        <v>59.13</v>
      </c>
      <c r="D7" s="46">
        <f>'FY 2025-26 Data'!B22</f>
        <v>144.16</v>
      </c>
      <c r="E7" s="99"/>
      <c r="F7" s="30">
        <f>'FY 2024-25 Data'!C22</f>
        <v>43.03</v>
      </c>
      <c r="G7" s="46">
        <f>'FY 2025-26 Data'!C22</f>
        <v>55.55</v>
      </c>
      <c r="H7" s="99"/>
      <c r="I7" s="28">
        <f>'FY 2024-25 Data'!E22</f>
        <v>374</v>
      </c>
      <c r="J7" s="44">
        <f>'FY 2025-26 Data'!E22</f>
        <v>164</v>
      </c>
      <c r="K7" s="99"/>
      <c r="L7" s="29">
        <f>'FY 2024-25 Data'!F22</f>
        <v>0.95509999999999995</v>
      </c>
      <c r="M7" s="45">
        <f>'FY 2025-26 Data'!F22</f>
        <v>0.97970000000000002</v>
      </c>
      <c r="N7" s="99"/>
      <c r="O7" s="30">
        <f>'FY 2024-25 Data'!D22</f>
        <v>308</v>
      </c>
      <c r="P7" s="46">
        <f>'FY 2025-26 Data'!D22</f>
        <v>139.30000000000001</v>
      </c>
      <c r="Q7" s="99"/>
      <c r="R7" s="100">
        <f>IFERROR(('FY 2025-26 Data'!E22-'FY 2024-25 Data'!E22)/'FY 2024-25 Data'!E22,"N/A")</f>
        <v>-0.56149732620320858</v>
      </c>
      <c r="S7" s="100">
        <f>IFERROR(('FY 2025-26 Data'!D22-'FY 2024-25 Data'!D22)/'FY 2024-25 Data'!D22,"N/A")</f>
        <v>-0.54772727272727273</v>
      </c>
      <c r="T7" s="16"/>
    </row>
    <row r="8" spans="1:20" ht="21.75" customHeight="1" x14ac:dyDescent="0.25">
      <c r="A8" s="16"/>
      <c r="B8" s="21" t="str">
        <f>'FY 2024-25 Data'!A23</f>
        <v>KBA-2</v>
      </c>
      <c r="C8" s="25">
        <f>'FY 2024-25 Data'!B23</f>
        <v>49.96</v>
      </c>
      <c r="D8" s="42">
        <f>'FY 2025-26 Data'!B23</f>
        <v>185.62</v>
      </c>
      <c r="E8" s="99"/>
      <c r="F8" s="25">
        <f>'FY 2024-25 Data'!C23</f>
        <v>41.09</v>
      </c>
      <c r="G8" s="42">
        <f>'FY 2025-26 Data'!C23</f>
        <v>64.69</v>
      </c>
      <c r="H8" s="99"/>
      <c r="I8" s="23">
        <f>'FY 2024-25 Data'!E23</f>
        <v>382</v>
      </c>
      <c r="J8" s="40">
        <f>'FY 2025-26 Data'!E23</f>
        <v>110</v>
      </c>
      <c r="K8" s="99"/>
      <c r="L8" s="24">
        <f>'FY 2024-25 Data'!F23</f>
        <v>0.96250000000000002</v>
      </c>
      <c r="M8" s="41">
        <f>'FY 2025-26 Data'!F23</f>
        <v>0.98280000000000001</v>
      </c>
      <c r="N8" s="99"/>
      <c r="O8" s="25">
        <f>'FY 2024-25 Data'!D23</f>
        <v>257.5</v>
      </c>
      <c r="P8" s="42">
        <f>'FY 2025-26 Data'!D23</f>
        <v>118.3</v>
      </c>
      <c r="Q8" s="99"/>
      <c r="R8" s="101">
        <f>IFERROR(('FY 2025-26 Data'!E23-'FY 2024-25 Data'!E23)/'FY 2024-25 Data'!E23,"N/A")</f>
        <v>-0.7120418848167539</v>
      </c>
      <c r="S8" s="101">
        <f>IFERROR(('FY 2025-26 Data'!D23-'FY 2024-25 Data'!D23)/'FY 2024-25 Data'!D23,"N/A")</f>
        <v>-0.54058252427184461</v>
      </c>
      <c r="T8" s="16"/>
    </row>
    <row r="9" spans="1:20" ht="21.75" customHeight="1" x14ac:dyDescent="0.25">
      <c r="A9" s="16"/>
      <c r="B9" s="26" t="str">
        <f>'FY 2024-25 Data'!A24</f>
        <v>KBA-3</v>
      </c>
      <c r="C9" s="30">
        <f>'FY 2024-25 Data'!B24</f>
        <v>60.87</v>
      </c>
      <c r="D9" s="46">
        <f>'FY 2025-26 Data'!B24</f>
        <v>236.45</v>
      </c>
      <c r="E9" s="99"/>
      <c r="F9" s="30">
        <f>'FY 2024-25 Data'!C24</f>
        <v>46.72</v>
      </c>
      <c r="G9" s="46">
        <f>'FY 2025-26 Data'!C24</f>
        <v>53.13</v>
      </c>
      <c r="H9" s="99"/>
      <c r="I9" s="28">
        <f>'FY 2024-25 Data'!E24</f>
        <v>310</v>
      </c>
      <c r="J9" s="44">
        <f>'FY 2025-26 Data'!E24</f>
        <v>92</v>
      </c>
      <c r="K9" s="99"/>
      <c r="L9" s="29">
        <f>'FY 2024-25 Data'!F24</f>
        <v>0.96709999999999996</v>
      </c>
      <c r="M9" s="45">
        <f>'FY 2025-26 Data'!F24</f>
        <v>0.98819999999999997</v>
      </c>
      <c r="N9" s="99"/>
      <c r="O9" s="30">
        <f>'FY 2024-25 Data'!D24</f>
        <v>225.5</v>
      </c>
      <c r="P9" s="46">
        <f>'FY 2025-26 Data'!D24</f>
        <v>81.099999999999994</v>
      </c>
      <c r="Q9" s="99"/>
      <c r="R9" s="100">
        <f>IFERROR(('FY 2025-26 Data'!E24-'FY 2024-25 Data'!E24)/'FY 2024-25 Data'!E24,"N/A")</f>
        <v>-0.70322580645161292</v>
      </c>
      <c r="S9" s="100">
        <f>IFERROR(('FY 2025-26 Data'!D24-'FY 2024-25 Data'!D24)/'FY 2024-25 Data'!D24,"N/A")</f>
        <v>-0.6403547671840355</v>
      </c>
      <c r="T9" s="16"/>
    </row>
    <row r="10" spans="1:20" ht="21.75" customHeight="1" x14ac:dyDescent="0.25">
      <c r="A10" s="16"/>
      <c r="B10" s="21" t="str">
        <f>'FY 2024-25 Data'!A25</f>
        <v>CX-1</v>
      </c>
      <c r="C10" s="25">
        <f>'FY 2024-25 Data'!B25</f>
        <v>135.29</v>
      </c>
      <c r="D10" s="42">
        <f>'FY 2025-26 Data'!B25</f>
        <v>511.5</v>
      </c>
      <c r="E10" s="99"/>
      <c r="F10" s="25">
        <f>'FY 2024-25 Data'!C25</f>
        <v>51.15</v>
      </c>
      <c r="G10" s="42">
        <f>'FY 2025-26 Data'!C25</f>
        <v>38.44</v>
      </c>
      <c r="H10" s="99"/>
      <c r="I10" s="23">
        <f>'FY 2024-25 Data'!E25</f>
        <v>169</v>
      </c>
      <c r="J10" s="40">
        <f>'FY 2025-26 Data'!E25</f>
        <v>47</v>
      </c>
      <c r="K10" s="99"/>
      <c r="L10" s="24">
        <f>'FY 2024-25 Data'!F25</f>
        <v>0.96719999999999995</v>
      </c>
      <c r="M10" s="41">
        <f>'FY 2025-26 Data'!F25</f>
        <v>0.99539999999999995</v>
      </c>
      <c r="N10" s="99"/>
      <c r="O10" s="25">
        <f>'FY 2024-25 Data'!D25</f>
        <v>225</v>
      </c>
      <c r="P10" s="42">
        <f>'FY 2025-26 Data'!D25</f>
        <v>31.3</v>
      </c>
      <c r="Q10" s="99"/>
      <c r="R10" s="101">
        <f>IFERROR(('FY 2025-26 Data'!E25-'FY 2024-25 Data'!E25)/'FY 2024-25 Data'!E25,"N/A")</f>
        <v>-0.72189349112426038</v>
      </c>
      <c r="S10" s="101">
        <f>IFERROR(('FY 2025-26 Data'!D25-'FY 2024-25 Data'!D25)/'FY 2024-25 Data'!D25,"N/A")</f>
        <v>-0.86088888888888881</v>
      </c>
      <c r="T10" s="16"/>
    </row>
    <row r="11" spans="1:20" ht="21.75" customHeight="1" x14ac:dyDescent="0.25">
      <c r="A11" s="16"/>
      <c r="B11" s="26" t="str">
        <f>'FY 2024-25 Data'!A26</f>
        <v>CX-2</v>
      </c>
      <c r="C11" s="30">
        <f>'FY 2024-25 Data'!B26</f>
        <v>98.7</v>
      </c>
      <c r="D11" s="46">
        <f>'FY 2025-26 Data'!B26</f>
        <v>528.37</v>
      </c>
      <c r="E11" s="99"/>
      <c r="F11" s="30">
        <f>'FY 2024-25 Data'!C26</f>
        <v>62.56</v>
      </c>
      <c r="G11" s="46">
        <f>'FY 2025-26 Data'!C26</f>
        <v>65.319999999999993</v>
      </c>
      <c r="H11" s="99"/>
      <c r="I11" s="28">
        <f>'FY 2024-25 Data'!E26</f>
        <v>187</v>
      </c>
      <c r="J11" s="44">
        <f>'FY 2025-26 Data'!E26</f>
        <v>50</v>
      </c>
      <c r="K11" s="99"/>
      <c r="L11" s="29">
        <f>'FY 2024-25 Data'!F26</f>
        <v>0.96189999999999998</v>
      </c>
      <c r="M11" s="45">
        <f>'FY 2025-26 Data'!F26</f>
        <v>0.99180000000000001</v>
      </c>
      <c r="N11" s="99"/>
      <c r="O11" s="30">
        <f>'FY 2024-25 Data'!D26</f>
        <v>261.5</v>
      </c>
      <c r="P11" s="46">
        <f>'FY 2025-26 Data'!D26</f>
        <v>56.4</v>
      </c>
      <c r="Q11" s="99"/>
      <c r="R11" s="100">
        <f>IFERROR(('FY 2025-26 Data'!E26-'FY 2024-25 Data'!E26)/'FY 2024-25 Data'!E26,"N/A")</f>
        <v>-0.73262032085561501</v>
      </c>
      <c r="S11" s="100">
        <f>IFERROR(('FY 2025-26 Data'!D26-'FY 2024-25 Data'!D26)/'FY 2024-25 Data'!D26,"N/A")</f>
        <v>-0.78432122370936896</v>
      </c>
      <c r="T11" s="16"/>
    </row>
    <row r="12" spans="1:20" ht="21.75" customHeight="1" x14ac:dyDescent="0.25">
      <c r="A12" s="16"/>
      <c r="B12" s="102" t="s">
        <v>50</v>
      </c>
      <c r="C12" s="35">
        <f>'FY 2024-25 Data'!B27</f>
        <v>80.789999999999992</v>
      </c>
      <c r="D12" s="51">
        <f>'FY 2025-26 Data'!B27</f>
        <v>321.21999999999997</v>
      </c>
      <c r="E12" s="99"/>
      <c r="F12" s="35">
        <f>'FY 2024-25 Data'!C27</f>
        <v>48.910000000000004</v>
      </c>
      <c r="G12" s="51">
        <f>'FY 2025-26 Data'!C27</f>
        <v>55.426000000000002</v>
      </c>
      <c r="H12" s="99"/>
      <c r="I12" s="33">
        <f>'FY 2024-25 Data'!E27</f>
        <v>1422</v>
      </c>
      <c r="J12" s="49">
        <f>'FY 2025-26 Data'!E27</f>
        <v>463</v>
      </c>
      <c r="K12" s="99"/>
      <c r="L12" s="34">
        <f>'FY 2024-25 Data'!F27</f>
        <v>0.96276000000000006</v>
      </c>
      <c r="M12" s="50">
        <f>'FY 2025-26 Data'!F27</f>
        <v>0.98758000000000001</v>
      </c>
      <c r="N12" s="99"/>
      <c r="O12" s="35">
        <f>'FY 2024-25 Data'!D27</f>
        <v>1277.5</v>
      </c>
      <c r="P12" s="51">
        <f>'FY 2025-26 Data'!D27</f>
        <v>426.40000000000003</v>
      </c>
      <c r="Q12" s="99"/>
      <c r="R12" s="103">
        <f>IFERROR(('FY 2025-26 Data'!E27-'FY 2024-25 Data'!E27)/'FY 2024-25 Data'!E27,"N/A")</f>
        <v>-0.67440225035161749</v>
      </c>
      <c r="S12" s="103">
        <f>IFERROR(('FY 2025-26 Data'!D27-'FY 2024-25 Data'!D27)/'FY 2024-25 Data'!D27,"N/A")</f>
        <v>-0.66622309197651652</v>
      </c>
      <c r="T12" s="16"/>
    </row>
    <row r="13" spans="1:20" ht="1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1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1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1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1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1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1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ht="1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1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ht="1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1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1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ht="1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</sheetData>
  <mergeCells count="8">
    <mergeCell ref="B2:T2"/>
    <mergeCell ref="B3:T3"/>
    <mergeCell ref="C5:D5"/>
    <mergeCell ref="F5:G5"/>
    <mergeCell ref="I5:J5"/>
    <mergeCell ref="L5:M5"/>
    <mergeCell ref="O5:P5"/>
    <mergeCell ref="R5:S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FY 2024-25 Data</vt:lpstr>
      <vt:lpstr>FY 2025-26 Data</vt:lpstr>
      <vt:lpstr>Chart Data</vt:lpstr>
      <vt:lpstr>Monthly Detail</vt:lpstr>
      <vt:lpstr>Machine 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Yogesh Patil</cp:lastModifiedBy>
  <cp:revision>4</cp:revision>
  <dcterms:created xsi:type="dcterms:W3CDTF">2026-03-25T03:54:31Z</dcterms:created>
  <dcterms:modified xsi:type="dcterms:W3CDTF">2026-03-25T06:55:13Z</dcterms:modified>
  <dc:language>en-US</dc:language>
</cp:coreProperties>
</file>